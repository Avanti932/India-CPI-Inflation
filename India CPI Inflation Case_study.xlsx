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2.xml" ContentType="application/vnd.ms-office.chartex+xml"/>
  <Override PartName="/xl/charts/chartEx1.xml" ContentType="application/vnd.ms-office.chartex+xml"/>
  <Override PartName="/xl/charts/colors100.xml" ContentType="application/vnd.ms-office.chartcolorstyle+xml"/>
  <Override PartName="/xl/charts/style100.xml" ContentType="application/vnd.ms-office.chartstyle+xml"/>
  <Override PartName="/xl/charts/colors30.xml" ContentType="application/vnd.ms-office.chartcolorstyle+xml"/>
  <Override PartName="/xl/charts/style3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Pictures\Download\India-CPI-Inflation--main\India-CPI-Inflation--main\"/>
    </mc:Choice>
  </mc:AlternateContent>
  <bookViews>
    <workbookView xWindow="28680" yWindow="-120" windowWidth="29040" windowHeight="15720" firstSheet="2" activeTab="9"/>
  </bookViews>
  <sheets>
    <sheet name="All_India_Index_Upto_April23" sheetId="1" r:id="rId1"/>
    <sheet name="main data" sheetId="2" r:id="rId2"/>
    <sheet name="Notes" sheetId="3" r:id="rId3"/>
    <sheet name="Objective" sheetId="4" r:id="rId4"/>
    <sheet name="EDA 1" sheetId="7" r:id="rId5"/>
    <sheet name="EDA 2" sheetId="10" r:id="rId6"/>
    <sheet name="EDA 3" sheetId="12" r:id="rId7"/>
    <sheet name="EDA 4" sheetId="13" r:id="rId8"/>
    <sheet name="EDA 5" sheetId="16" r:id="rId9"/>
    <sheet name="Communication" sheetId="8" r:id="rId10"/>
  </sheets>
  <definedNames>
    <definedName name="_xlnm._FilterDatabase" localSheetId="0" hidden="1">All_India_Index_Upto_April23!$A$1:$AE$373</definedName>
    <definedName name="_xlnm._FilterDatabase" localSheetId="7" hidden="1">'EDA 4'!$D$6:$H$6</definedName>
    <definedName name="_xlnm._FilterDatabase" localSheetId="1" hidden="1">'main data'!$A$1:$AK$376</definedName>
    <definedName name="_xlchart.v1.0" hidden="1">'EDA 3'!$P$6:$P$17</definedName>
    <definedName name="_xlchart.v1.1" hidden="1">'EDA 3'!$Q$5</definedName>
    <definedName name="_xlchart.v1.2" hidden="1">'EDA 3'!$Q$6:$Q$17</definedName>
    <definedName name="_xlchart.v1.3" hidden="1">'EDA 3'!$P$6:$P$18</definedName>
    <definedName name="_xlchart.v1.4" hidden="1">'EDA 3'!$Q$5</definedName>
    <definedName name="_xlchart.v1.5" hidden="1">'EDA 3'!$Q$6:$Q$18</definedName>
    <definedName name="Cereals">'main data'!$E$1:$E$376</definedName>
    <definedName name="Clothing">'main data'!$AG$1:$AG$376</definedName>
    <definedName name="clthng">Table1[[#All],[Clothing]]</definedName>
    <definedName name="clthnnfotwr">Table1[[#All],[Clothing and footwear]]</definedName>
    <definedName name="date">'main data'!$D$1:$D$376</definedName>
    <definedName name="edu">'main data'!$AB$1:$AB$376</definedName>
    <definedName name="egg">'main data'!$G$1:$G$376</definedName>
    <definedName name="foodB">'main data'!$AF$1:$AF$376</definedName>
    <definedName name="foodBev">'main data'!$Q$1:$Q$376</definedName>
    <definedName name="fotwer">Table1[[#All],[Footwear]]</definedName>
    <definedName name="fruits">'main data'!$J$1:$J$376</definedName>
    <definedName name="fuel">'main data'!$W$1:$W$376</definedName>
    <definedName name="GnrlIndx">'main data'!$AE$1:$AE$376</definedName>
    <definedName name="health">'main data'!$Y$1:$Y$376</definedName>
    <definedName name="healthpersnl">'main data'!$AI$1:$AI$376</definedName>
    <definedName name="housing">'main data'!$AH$1:$AH$376</definedName>
    <definedName name="housng">Table1[[#All],[Housing]]</definedName>
    <definedName name="Intoxicants">'main data'!$R$1:$R$376</definedName>
    <definedName name="meat">'main data'!$F$1:$F$376</definedName>
    <definedName name="milk">'main data'!$H$1:$H$376</definedName>
    <definedName name="miscel">'main data'!$AJ$1:$AJ$376</definedName>
    <definedName name="miscellaneous">Table1[[#All],[Miscellaneous]]</definedName>
    <definedName name="month">'main data'!$C$1:$C$376</definedName>
    <definedName name="NonAlco">'main data'!$O$1:$O$376</definedName>
    <definedName name="oils">'main data'!$I$1:$I$376</definedName>
    <definedName name="prefood">'main data'!$P$1:$P$376</definedName>
    <definedName name="prsnlcare">Table1[[#All],[Persol care and effects]]</definedName>
    <definedName name="pulses">'main data'!$L$1:$L$376</definedName>
    <definedName name="recreation">Table1[[#All],[Recreation and amusement]]</definedName>
    <definedName name="sec">'main data'!$A$1:$A$376</definedName>
    <definedName name="spices">'main data'!$N$1:$N$376</definedName>
    <definedName name="sugar">'main data'!$M$1:$M$376</definedName>
    <definedName name="trans">'main data'!$Z$1:$Z$376</definedName>
    <definedName name="Vege">'main data'!$K$1:$K$376</definedName>
    <definedName name="year">'main data'!$B$1:$B$376</definedName>
  </definedNames>
  <calcPr calcId="152511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6" l="1"/>
  <c r="Q18" i="12"/>
  <c r="AA14" i="12"/>
  <c r="AA13" i="12"/>
  <c r="AA7" i="12"/>
  <c r="AA16" i="12"/>
  <c r="AA12" i="12"/>
  <c r="AA15" i="12"/>
  <c r="AA8" i="12"/>
  <c r="AA11" i="12"/>
  <c r="AA5" i="12"/>
  <c r="AA10" i="12"/>
  <c r="AA9" i="12"/>
  <c r="AA6" i="12"/>
  <c r="AP8" i="16" l="1"/>
  <c r="AP9" i="16"/>
  <c r="AP10" i="16"/>
  <c r="AP11" i="16"/>
  <c r="AP12" i="16"/>
  <c r="AP13" i="16"/>
  <c r="AP14" i="16"/>
  <c r="AP15" i="16"/>
  <c r="AP16" i="16"/>
  <c r="AP17" i="16"/>
  <c r="AP18" i="16"/>
  <c r="AP19" i="16"/>
  <c r="AP20" i="16"/>
  <c r="AP21" i="16"/>
  <c r="AP22" i="16"/>
  <c r="AP23" i="16"/>
  <c r="AP24" i="16"/>
  <c r="AP25" i="16"/>
  <c r="AP26" i="16"/>
  <c r="AP27" i="16"/>
  <c r="AP28" i="16"/>
  <c r="AP29" i="16"/>
  <c r="AP30" i="16"/>
  <c r="AP31" i="16"/>
  <c r="AP32" i="16"/>
  <c r="AP33" i="16"/>
  <c r="AP7" i="16"/>
  <c r="AO8" i="16"/>
  <c r="AO9" i="16"/>
  <c r="AO10" i="16"/>
  <c r="AO11" i="16"/>
  <c r="AO12" i="16"/>
  <c r="AO13" i="16"/>
  <c r="AO14" i="16"/>
  <c r="AO15" i="16"/>
  <c r="AO16" i="16"/>
  <c r="AO17" i="16"/>
  <c r="AO18" i="16"/>
  <c r="AO19" i="16"/>
  <c r="AO20" i="16"/>
  <c r="AO21" i="16"/>
  <c r="AO22" i="16"/>
  <c r="AO23" i="16"/>
  <c r="AO24" i="16"/>
  <c r="AO25" i="16"/>
  <c r="AO26" i="16"/>
  <c r="AO27" i="16"/>
  <c r="AO28" i="16"/>
  <c r="AO29" i="16"/>
  <c r="AO30" i="16"/>
  <c r="AO31" i="16"/>
  <c r="AO32" i="16"/>
  <c r="AO33" i="16"/>
  <c r="AO7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AA31" i="16" a="1"/>
  <c r="AA31" i="16" s="1"/>
  <c r="Z31" i="16" a="1"/>
  <c r="Z31" i="16" s="1"/>
  <c r="Y31" i="16" a="1"/>
  <c r="Y31" i="16" s="1"/>
  <c r="X31" i="16" a="1"/>
  <c r="X31" i="16" s="1"/>
  <c r="W31" i="16" a="1"/>
  <c r="W31" i="16" s="1"/>
  <c r="V31" i="16" a="1"/>
  <c r="V31" i="16" s="1"/>
  <c r="U31" i="16" a="1"/>
  <c r="U31" i="16" s="1"/>
  <c r="T31" i="16" a="1"/>
  <c r="T31" i="16" s="1"/>
  <c r="S31" i="16" a="1"/>
  <c r="S31" i="16" s="1"/>
  <c r="R31" i="16" a="1"/>
  <c r="R31" i="16" s="1"/>
  <c r="Q31" i="16" a="1"/>
  <c r="Q31" i="16" s="1"/>
  <c r="P31" i="16" a="1"/>
  <c r="P31" i="16" s="1"/>
  <c r="O31" i="16" a="1"/>
  <c r="O31" i="16" s="1"/>
  <c r="N31" i="16" a="1"/>
  <c r="N31" i="16" s="1"/>
  <c r="M31" i="16" a="1"/>
  <c r="M31" i="16" s="1"/>
  <c r="L31" i="16" a="1"/>
  <c r="L31" i="16" s="1"/>
  <c r="K31" i="16" a="1"/>
  <c r="K31" i="16" s="1"/>
  <c r="J31" i="16" a="1"/>
  <c r="J31" i="16" s="1"/>
  <c r="I31" i="16" a="1"/>
  <c r="I31" i="16" s="1"/>
  <c r="H31" i="16" a="1"/>
  <c r="H31" i="16" s="1"/>
  <c r="G31" i="16" a="1"/>
  <c r="G31" i="16" s="1"/>
  <c r="F31" i="16" a="1"/>
  <c r="F31" i="16" s="1"/>
  <c r="E31" i="16" a="1"/>
  <c r="E31" i="16" s="1"/>
  <c r="D31" i="16" a="1"/>
  <c r="D31" i="16" s="1"/>
  <c r="C31" i="16" a="1"/>
  <c r="C31" i="16" s="1"/>
  <c r="AA30" i="16" a="1"/>
  <c r="AA30" i="16" s="1"/>
  <c r="Z30" i="16" a="1"/>
  <c r="Z30" i="16" s="1"/>
  <c r="Y30" i="16" a="1"/>
  <c r="Y30" i="16" s="1"/>
  <c r="X30" i="16" a="1"/>
  <c r="X30" i="16" s="1"/>
  <c r="W30" i="16" a="1"/>
  <c r="W30" i="16" s="1"/>
  <c r="V30" i="16" a="1"/>
  <c r="V30" i="16" s="1"/>
  <c r="U30" i="16" a="1"/>
  <c r="U30" i="16" s="1"/>
  <c r="T30" i="16" a="1"/>
  <c r="T30" i="16" s="1"/>
  <c r="S30" i="16" a="1"/>
  <c r="S30" i="16" s="1"/>
  <c r="R30" i="16" a="1"/>
  <c r="R30" i="16" s="1"/>
  <c r="Q30" i="16" a="1"/>
  <c r="Q30" i="16" s="1"/>
  <c r="P30" i="16" a="1"/>
  <c r="P30" i="16" s="1"/>
  <c r="O30" i="16" a="1"/>
  <c r="O30" i="16" s="1"/>
  <c r="N30" i="16" a="1"/>
  <c r="N30" i="16" s="1"/>
  <c r="M30" i="16" a="1"/>
  <c r="M30" i="16" s="1"/>
  <c r="L30" i="16" a="1"/>
  <c r="L30" i="16" s="1"/>
  <c r="K30" i="16" a="1"/>
  <c r="K30" i="16" s="1"/>
  <c r="J30" i="16" a="1"/>
  <c r="J30" i="16" s="1"/>
  <c r="I30" i="16" a="1"/>
  <c r="I30" i="16" s="1"/>
  <c r="H30" i="16" a="1"/>
  <c r="H30" i="16" s="1"/>
  <c r="G30" i="16" a="1"/>
  <c r="G30" i="16" s="1"/>
  <c r="F30" i="16" a="1"/>
  <c r="F30" i="16" s="1"/>
  <c r="E30" i="16" a="1"/>
  <c r="E30" i="16" s="1"/>
  <c r="D30" i="16" a="1"/>
  <c r="D30" i="16" s="1"/>
  <c r="C30" i="16" a="1"/>
  <c r="C30" i="16" s="1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AA28" i="16" a="1"/>
  <c r="AA28" i="16" s="1"/>
  <c r="Z28" i="16" a="1"/>
  <c r="Z28" i="16" s="1"/>
  <c r="Y28" i="16" a="1"/>
  <c r="Y28" i="16" s="1"/>
  <c r="X28" i="16" a="1"/>
  <c r="X28" i="16" s="1"/>
  <c r="W28" i="16" a="1"/>
  <c r="W28" i="16" s="1"/>
  <c r="V28" i="16" a="1"/>
  <c r="V28" i="16" s="1"/>
  <c r="U28" i="16" a="1"/>
  <c r="U28" i="16" s="1"/>
  <c r="T28" i="16" a="1"/>
  <c r="T28" i="16" s="1"/>
  <c r="S28" i="16" a="1"/>
  <c r="S28" i="16" s="1"/>
  <c r="R28" i="16" a="1"/>
  <c r="R28" i="16" s="1"/>
  <c r="Q28" i="16" a="1"/>
  <c r="Q28" i="16" s="1"/>
  <c r="P28" i="16" a="1"/>
  <c r="P28" i="16" s="1"/>
  <c r="O28" i="16" a="1"/>
  <c r="O28" i="16" s="1"/>
  <c r="N28" i="16" a="1"/>
  <c r="N28" i="16" s="1"/>
  <c r="M28" i="16" a="1"/>
  <c r="M28" i="16" s="1"/>
  <c r="L28" i="16" a="1"/>
  <c r="L28" i="16" s="1"/>
  <c r="K28" i="16" a="1"/>
  <c r="K28" i="16" s="1"/>
  <c r="J28" i="16" a="1"/>
  <c r="J28" i="16" s="1"/>
  <c r="I28" i="16" a="1"/>
  <c r="I28" i="16" s="1"/>
  <c r="H28" i="16" a="1"/>
  <c r="H28" i="16" s="1"/>
  <c r="G28" i="16" a="1"/>
  <c r="G28" i="16" s="1"/>
  <c r="F28" i="16" a="1"/>
  <c r="F28" i="16" s="1"/>
  <c r="E28" i="16" a="1"/>
  <c r="E28" i="16" s="1"/>
  <c r="D28" i="16" a="1"/>
  <c r="D28" i="16" s="1"/>
  <c r="C28" i="16" a="1"/>
  <c r="C28" i="16" s="1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AA23" i="16" a="1"/>
  <c r="AA23" i="16" s="1"/>
  <c r="Z23" i="16" a="1"/>
  <c r="Z23" i="16" s="1"/>
  <c r="Y23" i="16" a="1"/>
  <c r="Y23" i="16" s="1"/>
  <c r="X23" i="16" a="1"/>
  <c r="X23" i="16" s="1"/>
  <c r="W23" i="16" a="1"/>
  <c r="W23" i="16" s="1"/>
  <c r="V23" i="16" a="1"/>
  <c r="V23" i="16" s="1"/>
  <c r="U23" i="16" a="1"/>
  <c r="U23" i="16" s="1"/>
  <c r="T23" i="16" a="1"/>
  <c r="T23" i="16" s="1"/>
  <c r="S23" i="16" a="1"/>
  <c r="S23" i="16" s="1"/>
  <c r="R23" i="16" a="1"/>
  <c r="R23" i="16" s="1"/>
  <c r="Q23" i="16" a="1"/>
  <c r="Q23" i="16" s="1"/>
  <c r="P23" i="16" a="1"/>
  <c r="P23" i="16" s="1"/>
  <c r="O23" i="16" a="1"/>
  <c r="O23" i="16" s="1"/>
  <c r="N23" i="16" a="1"/>
  <c r="N23" i="16" s="1"/>
  <c r="M23" i="16" a="1"/>
  <c r="M23" i="16" s="1"/>
  <c r="L23" i="16" a="1"/>
  <c r="L23" i="16" s="1"/>
  <c r="K23" i="16" a="1"/>
  <c r="K23" i="16" s="1"/>
  <c r="J23" i="16" a="1"/>
  <c r="J23" i="16" s="1"/>
  <c r="I23" i="16" a="1"/>
  <c r="I23" i="16" s="1"/>
  <c r="H23" i="16" a="1"/>
  <c r="H23" i="16" s="1"/>
  <c r="G23" i="16" a="1"/>
  <c r="G23" i="16" s="1"/>
  <c r="F23" i="16" a="1"/>
  <c r="F23" i="16" s="1"/>
  <c r="E23" i="16" a="1"/>
  <c r="E23" i="16" s="1"/>
  <c r="D23" i="16" a="1"/>
  <c r="D23" i="16" s="1"/>
  <c r="C23" i="16" a="1"/>
  <c r="C23" i="16" s="1"/>
  <c r="AA22" i="16" a="1"/>
  <c r="AA22" i="16" s="1"/>
  <c r="Z22" i="16" a="1"/>
  <c r="Z22" i="16" s="1"/>
  <c r="Y22" i="16" a="1"/>
  <c r="Y22" i="16" s="1"/>
  <c r="X22" i="16" a="1"/>
  <c r="X22" i="16" s="1"/>
  <c r="W22" i="16" a="1"/>
  <c r="W22" i="16" s="1"/>
  <c r="V22" i="16" a="1"/>
  <c r="V22" i="16" s="1"/>
  <c r="U22" i="16" a="1"/>
  <c r="U22" i="16" s="1"/>
  <c r="T22" i="16" a="1"/>
  <c r="T22" i="16" s="1"/>
  <c r="S22" i="16" a="1"/>
  <c r="S22" i="16" s="1"/>
  <c r="R22" i="16" a="1"/>
  <c r="R22" i="16" s="1"/>
  <c r="Q22" i="16" a="1"/>
  <c r="Q22" i="16" s="1"/>
  <c r="P22" i="16" a="1"/>
  <c r="P22" i="16" s="1"/>
  <c r="O22" i="16" a="1"/>
  <c r="O22" i="16" s="1"/>
  <c r="N22" i="16" a="1"/>
  <c r="N22" i="16" s="1"/>
  <c r="M22" i="16" a="1"/>
  <c r="M22" i="16" s="1"/>
  <c r="L22" i="16" a="1"/>
  <c r="L22" i="16" s="1"/>
  <c r="K22" i="16" a="1"/>
  <c r="K22" i="16" s="1"/>
  <c r="J22" i="16" a="1"/>
  <c r="J22" i="16" s="1"/>
  <c r="I22" i="16" a="1"/>
  <c r="I22" i="16" s="1"/>
  <c r="H22" i="16" a="1"/>
  <c r="H22" i="16" s="1"/>
  <c r="G22" i="16" a="1"/>
  <c r="G22" i="16" s="1"/>
  <c r="F22" i="16" a="1"/>
  <c r="F22" i="16" s="1"/>
  <c r="E22" i="16" a="1"/>
  <c r="E22" i="16" s="1"/>
  <c r="D22" i="16" a="1"/>
  <c r="D22" i="16" s="1"/>
  <c r="C22" i="16" a="1"/>
  <c r="C22" i="16" s="1"/>
  <c r="AA21" i="16" a="1"/>
  <c r="AA21" i="16" s="1"/>
  <c r="Z21" i="16" a="1"/>
  <c r="Z21" i="16" s="1"/>
  <c r="Y21" i="16" a="1"/>
  <c r="Y21" i="16" s="1"/>
  <c r="X21" i="16" a="1"/>
  <c r="X21" i="16" s="1"/>
  <c r="W21" i="16" a="1"/>
  <c r="W21" i="16" s="1"/>
  <c r="V21" i="16" a="1"/>
  <c r="V21" i="16" s="1"/>
  <c r="U21" i="16" a="1"/>
  <c r="U21" i="16" s="1"/>
  <c r="T21" i="16" a="1"/>
  <c r="T21" i="16" s="1"/>
  <c r="S21" i="16" a="1"/>
  <c r="S21" i="16" s="1"/>
  <c r="R21" i="16" a="1"/>
  <c r="R21" i="16" s="1"/>
  <c r="Q21" i="16" a="1"/>
  <c r="Q21" i="16" s="1"/>
  <c r="P21" i="16" a="1"/>
  <c r="P21" i="16" s="1"/>
  <c r="O21" i="16" a="1"/>
  <c r="O21" i="16" s="1"/>
  <c r="N21" i="16" a="1"/>
  <c r="N21" i="16" s="1"/>
  <c r="M21" i="16" a="1"/>
  <c r="M21" i="16" s="1"/>
  <c r="L21" i="16" a="1"/>
  <c r="L21" i="16" s="1"/>
  <c r="K21" i="16" a="1"/>
  <c r="K21" i="16" s="1"/>
  <c r="J21" i="16" a="1"/>
  <c r="J21" i="16" s="1"/>
  <c r="I21" i="16" a="1"/>
  <c r="I21" i="16" s="1"/>
  <c r="H21" i="16" a="1"/>
  <c r="H21" i="16" s="1"/>
  <c r="G21" i="16" a="1"/>
  <c r="G21" i="16" s="1"/>
  <c r="F21" i="16" a="1"/>
  <c r="F21" i="16" s="1"/>
  <c r="E21" i="16" a="1"/>
  <c r="E21" i="16" s="1"/>
  <c r="D21" i="16" a="1"/>
  <c r="D21" i="16" s="1"/>
  <c r="C21" i="16" a="1"/>
  <c r="C21" i="16" s="1"/>
  <c r="AA20" i="16" a="1"/>
  <c r="AA20" i="16" s="1"/>
  <c r="Z20" i="16" a="1"/>
  <c r="Z20" i="16" s="1"/>
  <c r="Y20" i="16" a="1"/>
  <c r="Y20" i="16" s="1"/>
  <c r="X20" i="16" a="1"/>
  <c r="X20" i="16" s="1"/>
  <c r="W20" i="16" a="1"/>
  <c r="W20" i="16" s="1"/>
  <c r="V20" i="16" a="1"/>
  <c r="V20" i="16" s="1"/>
  <c r="U20" i="16" a="1"/>
  <c r="U20" i="16" s="1"/>
  <c r="T20" i="16" a="1"/>
  <c r="T20" i="16" s="1"/>
  <c r="S20" i="16" a="1"/>
  <c r="S20" i="16" s="1"/>
  <c r="R20" i="16" a="1"/>
  <c r="R20" i="16" s="1"/>
  <c r="Q20" i="16" a="1"/>
  <c r="Q20" i="16" s="1"/>
  <c r="P20" i="16" a="1"/>
  <c r="P20" i="16" s="1"/>
  <c r="O20" i="16" a="1"/>
  <c r="O20" i="16" s="1"/>
  <c r="N20" i="16" a="1"/>
  <c r="N20" i="16" s="1"/>
  <c r="M20" i="16" a="1"/>
  <c r="M20" i="16" s="1"/>
  <c r="L20" i="16" a="1"/>
  <c r="L20" i="16" s="1"/>
  <c r="K20" i="16" a="1"/>
  <c r="K20" i="16" s="1"/>
  <c r="J20" i="16" a="1"/>
  <c r="J20" i="16" s="1"/>
  <c r="I20" i="16" a="1"/>
  <c r="I20" i="16" s="1"/>
  <c r="H20" i="16" a="1"/>
  <c r="H20" i="16" s="1"/>
  <c r="G20" i="16" a="1"/>
  <c r="G20" i="16" s="1"/>
  <c r="F20" i="16" a="1"/>
  <c r="F20" i="16" s="1"/>
  <c r="E20" i="16" a="1"/>
  <c r="E20" i="16" s="1"/>
  <c r="D20" i="16" a="1"/>
  <c r="D20" i="16" s="1"/>
  <c r="C20" i="16" a="1"/>
  <c r="C20" i="16" s="1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C8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 a="1"/>
  <c r="B20" i="16" s="1"/>
  <c r="B21" i="16" a="1"/>
  <c r="B21" i="16" s="1"/>
  <c r="B22" i="16" a="1"/>
  <c r="B22" i="16" s="1"/>
  <c r="B23" i="16" a="1"/>
  <c r="B23" i="16" s="1"/>
  <c r="B24" i="16"/>
  <c r="B25" i="16"/>
  <c r="B26" i="16"/>
  <c r="B27" i="16"/>
  <c r="B28" i="16" a="1"/>
  <c r="B28" i="16" s="1"/>
  <c r="B29" i="16"/>
  <c r="B30" i="16" a="1"/>
  <c r="B30" i="16" s="1"/>
  <c r="B31" i="16" a="1"/>
  <c r="B31" i="16" s="1"/>
  <c r="B32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C6" i="16"/>
  <c r="D6" i="16"/>
  <c r="E6" i="16"/>
  <c r="F6" i="16"/>
  <c r="H6" i="16"/>
  <c r="I6" i="16"/>
  <c r="J6" i="16"/>
  <c r="K6" i="16"/>
  <c r="B7" i="16"/>
  <c r="B6" i="16"/>
  <c r="D7" i="10" l="1"/>
  <c r="M8" i="10"/>
  <c r="L8" i="10"/>
  <c r="Q8" i="10"/>
  <c r="Q7" i="10"/>
  <c r="P8" i="10"/>
  <c r="P7" i="10"/>
  <c r="O8" i="10"/>
  <c r="N8" i="10"/>
  <c r="O7" i="10"/>
  <c r="N7" i="10"/>
  <c r="M7" i="10"/>
  <c r="L7" i="10"/>
  <c r="K8" i="10"/>
  <c r="J8" i="10"/>
  <c r="K7" i="10"/>
  <c r="J7" i="10"/>
  <c r="E12" i="10"/>
  <c r="D12" i="10"/>
  <c r="E11" i="10"/>
  <c r="D11" i="10"/>
  <c r="D10" i="10"/>
  <c r="E9" i="10"/>
  <c r="D9" i="10"/>
  <c r="E8" i="10"/>
  <c r="D8" i="10"/>
  <c r="E7" i="10"/>
  <c r="P9" i="10" l="1"/>
  <c r="F8" i="10"/>
  <c r="F12" i="10"/>
  <c r="F9" i="10"/>
  <c r="F11" i="10"/>
  <c r="F7" i="10"/>
  <c r="M9" i="10"/>
  <c r="Q9" i="10"/>
  <c r="L9" i="10"/>
  <c r="J9" i="10"/>
  <c r="N9" i="10"/>
  <c r="K9" i="10"/>
  <c r="O9" i="10"/>
  <c r="AI2" i="2" l="1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F89" i="2"/>
  <c r="F90" i="2" s="1"/>
  <c r="P89" i="2"/>
  <c r="P90" i="2" s="1"/>
  <c r="R89" i="2"/>
  <c r="R90" i="2" s="1"/>
  <c r="S89" i="2"/>
  <c r="S90" i="2" s="1"/>
  <c r="T89" i="2"/>
  <c r="T90" i="2" s="1"/>
  <c r="U89" i="2"/>
  <c r="U90" i="2" s="1"/>
  <c r="X89" i="2"/>
  <c r="X90" i="2" s="1"/>
  <c r="Z89" i="2"/>
  <c r="Z90" i="2" s="1"/>
  <c r="AA89" i="2"/>
  <c r="AA90" i="2" s="1"/>
  <c r="AB89" i="2"/>
  <c r="AB90" i="2" s="1"/>
  <c r="AC89" i="2"/>
  <c r="AC90" i="2" s="1"/>
  <c r="AD89" i="2"/>
  <c r="AD90" i="2" s="1"/>
  <c r="AE89" i="2"/>
  <c r="AE90" i="2" s="1"/>
  <c r="W90" i="2"/>
  <c r="Y90" i="2"/>
  <c r="F214" i="2"/>
  <c r="F215" i="2" s="1"/>
  <c r="P214" i="2"/>
  <c r="P215" i="2" s="1"/>
  <c r="R214" i="2"/>
  <c r="R215" i="2" s="1"/>
  <c r="S214" i="2"/>
  <c r="S215" i="2" s="1"/>
  <c r="T214" i="2"/>
  <c r="T215" i="2" s="1"/>
  <c r="U214" i="2"/>
  <c r="U215" i="2" s="1"/>
  <c r="X214" i="2"/>
  <c r="X215" i="2" s="1"/>
  <c r="Z214" i="2"/>
  <c r="Z215" i="2" s="1"/>
  <c r="AA214" i="2"/>
  <c r="AA215" i="2" s="1"/>
  <c r="AB214" i="2"/>
  <c r="AB215" i="2" s="1"/>
  <c r="AC214" i="2"/>
  <c r="AC215" i="2" s="1"/>
  <c r="AD214" i="2"/>
  <c r="AD215" i="2" s="1"/>
  <c r="AE214" i="2"/>
  <c r="AE215" i="2" s="1"/>
  <c r="E10" i="10" s="1"/>
  <c r="F10" i="10" s="1"/>
  <c r="G215" i="2"/>
  <c r="H215" i="2"/>
  <c r="I215" i="2"/>
  <c r="J215" i="2"/>
  <c r="K215" i="2"/>
  <c r="L215" i="2"/>
  <c r="M215" i="2"/>
  <c r="N215" i="2"/>
  <c r="O215" i="2"/>
  <c r="Q215" i="2"/>
  <c r="V215" i="2"/>
  <c r="W215" i="2"/>
  <c r="Y215" i="2"/>
  <c r="F339" i="2"/>
  <c r="F340" i="2" s="1"/>
  <c r="P339" i="2"/>
  <c r="P340" i="2" s="1"/>
  <c r="R339" i="2"/>
  <c r="R340" i="2" s="1"/>
  <c r="S339" i="2"/>
  <c r="S340" i="2" s="1"/>
  <c r="T339" i="2"/>
  <c r="T340" i="2" s="1"/>
  <c r="U339" i="2"/>
  <c r="U340" i="2" s="1"/>
  <c r="X339" i="2"/>
  <c r="X340" i="2" s="1"/>
  <c r="Z339" i="2"/>
  <c r="Z340" i="2" s="1"/>
  <c r="AA339" i="2"/>
  <c r="AA340" i="2" s="1"/>
  <c r="AB339" i="2"/>
  <c r="AB340" i="2" s="1"/>
  <c r="AC339" i="2"/>
  <c r="AC340" i="2" s="1"/>
  <c r="AD339" i="2"/>
  <c r="AD340" i="2" s="1"/>
  <c r="AE339" i="2"/>
  <c r="AE340" i="2" s="1"/>
  <c r="G340" i="2"/>
  <c r="H340" i="2"/>
  <c r="I340" i="2"/>
  <c r="J340" i="2"/>
  <c r="K340" i="2"/>
  <c r="L340" i="2"/>
  <c r="M340" i="2"/>
  <c r="N340" i="2"/>
  <c r="O340" i="2"/>
  <c r="Q340" i="2"/>
  <c r="V340" i="2"/>
  <c r="W340" i="2"/>
  <c r="Y340" i="2"/>
  <c r="I90" i="2"/>
  <c r="J90" i="2"/>
  <c r="K90" i="2"/>
  <c r="L90" i="2"/>
  <c r="M90" i="2"/>
  <c r="N90" i="2"/>
  <c r="O90" i="2"/>
  <c r="Q90" i="2"/>
  <c r="G90" i="2"/>
  <c r="H90" i="2"/>
  <c r="E340" i="2"/>
  <c r="E215" i="2"/>
  <c r="E90" i="2"/>
  <c r="D2" i="2"/>
  <c r="J7" i="12"/>
  <c r="K7" i="12"/>
  <c r="L7" i="12"/>
  <c r="M7" i="12"/>
  <c r="J8" i="12"/>
  <c r="K8" i="12"/>
  <c r="L8" i="12"/>
  <c r="M8" i="12"/>
  <c r="J9" i="12"/>
  <c r="K9" i="12"/>
  <c r="L9" i="12"/>
  <c r="M9" i="12"/>
  <c r="N9" i="12" s="1"/>
  <c r="J10" i="12"/>
  <c r="K10" i="12"/>
  <c r="L10" i="12"/>
  <c r="M10" i="12"/>
  <c r="J11" i="12"/>
  <c r="K11" i="12"/>
  <c r="L11" i="12"/>
  <c r="M11" i="12"/>
  <c r="N11" i="12" s="1"/>
  <c r="J12" i="12"/>
  <c r="K12" i="12"/>
  <c r="L12" i="12"/>
  <c r="M12" i="12"/>
  <c r="J13" i="12"/>
  <c r="K13" i="12"/>
  <c r="L13" i="12"/>
  <c r="M13" i="12"/>
  <c r="N13" i="12" s="1"/>
  <c r="J14" i="12"/>
  <c r="K14" i="12"/>
  <c r="L14" i="12"/>
  <c r="M14" i="12"/>
  <c r="J15" i="12"/>
  <c r="K15" i="12"/>
  <c r="L15" i="12"/>
  <c r="M15" i="12"/>
  <c r="N15" i="12" s="1"/>
  <c r="J16" i="12"/>
  <c r="K16" i="12"/>
  <c r="L16" i="12"/>
  <c r="M16" i="12"/>
  <c r="J17" i="12"/>
  <c r="K17" i="12"/>
  <c r="L17" i="12"/>
  <c r="M17" i="12"/>
  <c r="N17" i="12" s="1"/>
  <c r="J18" i="12"/>
  <c r="K18" i="12"/>
  <c r="L18" i="12"/>
  <c r="M18" i="12"/>
  <c r="D17" i="7"/>
  <c r="E17" i="7"/>
  <c r="D18" i="7"/>
  <c r="D16" i="7"/>
  <c r="AJ2" i="2"/>
  <c r="AH2" i="2"/>
  <c r="N8" i="12" l="1"/>
  <c r="N14" i="12"/>
  <c r="N12" i="12"/>
  <c r="N10" i="12"/>
  <c r="N18" i="12"/>
  <c r="N16" i="12"/>
  <c r="F9" i="13"/>
  <c r="G9" i="13"/>
  <c r="F10" i="13"/>
  <c r="F14" i="13"/>
  <c r="F18" i="13"/>
  <c r="N7" i="13"/>
  <c r="M16" i="13"/>
  <c r="G10" i="13"/>
  <c r="H10" i="13" s="1"/>
  <c r="G14" i="13"/>
  <c r="G18" i="13"/>
  <c r="N13" i="13"/>
  <c r="N15" i="13"/>
  <c r="N21" i="13"/>
  <c r="M8" i="13"/>
  <c r="F11" i="13"/>
  <c r="F15" i="13"/>
  <c r="F19" i="13"/>
  <c r="M13" i="13"/>
  <c r="M15" i="13"/>
  <c r="M21" i="13"/>
  <c r="N10" i="13"/>
  <c r="F7" i="13"/>
  <c r="G7" i="13"/>
  <c r="G11" i="13"/>
  <c r="G15" i="13"/>
  <c r="G19" i="13"/>
  <c r="N12" i="13"/>
  <c r="N14" i="13"/>
  <c r="N17" i="13"/>
  <c r="M10" i="13"/>
  <c r="M11" i="13"/>
  <c r="F8" i="13"/>
  <c r="F12" i="13"/>
  <c r="F16" i="13"/>
  <c r="F20" i="13"/>
  <c r="M12" i="13"/>
  <c r="M14" i="13"/>
  <c r="M17" i="13"/>
  <c r="N19" i="13"/>
  <c r="F17" i="13"/>
  <c r="M9" i="13"/>
  <c r="G13" i="13"/>
  <c r="G21" i="13"/>
  <c r="N11" i="13"/>
  <c r="N8" i="13"/>
  <c r="G8" i="13"/>
  <c r="G12" i="13"/>
  <c r="G16" i="13"/>
  <c r="G20" i="13"/>
  <c r="N9" i="13"/>
  <c r="N20" i="13"/>
  <c r="N18" i="13"/>
  <c r="M19" i="13"/>
  <c r="F13" i="13"/>
  <c r="F21" i="13"/>
  <c r="M20" i="13"/>
  <c r="M18" i="13"/>
  <c r="G17" i="13"/>
  <c r="N16" i="13"/>
  <c r="M7" i="13"/>
  <c r="AF2" i="2"/>
  <c r="AG2" i="2"/>
  <c r="H12" i="13" l="1"/>
  <c r="H20" i="13"/>
  <c r="H18" i="13"/>
  <c r="H7" i="13"/>
  <c r="E55" i="13" s="1"/>
  <c r="O19" i="13"/>
  <c r="H9" i="13"/>
  <c r="O18" i="13"/>
  <c r="O14" i="13"/>
  <c r="O15" i="13"/>
  <c r="O9" i="13"/>
  <c r="H19" i="13"/>
  <c r="H8" i="13"/>
  <c r="O8" i="13"/>
  <c r="O11" i="13"/>
  <c r="O16" i="13"/>
  <c r="O20" i="13"/>
  <c r="H17" i="13"/>
  <c r="H13" i="13"/>
  <c r="H15" i="13"/>
  <c r="H16" i="13"/>
  <c r="H11" i="13"/>
  <c r="O7" i="13"/>
  <c r="O17" i="13"/>
  <c r="O10" i="13"/>
  <c r="O21" i="13"/>
  <c r="H21" i="13"/>
  <c r="O12" i="13"/>
  <c r="O13" i="13"/>
  <c r="H14" i="13"/>
  <c r="AK2" i="2"/>
  <c r="M63" i="13" l="1"/>
  <c r="E57" i="13"/>
  <c r="M65" i="1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<sst xmlns="http://schemas.openxmlformats.org/spreadsheetml/2006/main" count="2589" uniqueCount="243">
  <si>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</si>
  <si>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</si>
  <si>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</si>
  <si>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</si>
  <si>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</si>
  <si>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</si>
  <si>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</si>
  <si>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</si>
  <si>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</si>
  <si>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</si>
  <si>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</si>
  <si>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</si>
  <si>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</si>
  <si>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</si>
  <si>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</si>
  <si>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</si>
  <si>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</si>
  <si>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</si>
  <si>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</si>
  <si>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</si>
  <si>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</si>
  <si>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</si>
  <si>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</si>
  <si>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</si>
  <si>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</si>
  <si>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</si>
  <si>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</si>
  <si>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</si>
  <si>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</si>
  <si>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</si>
  <si>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Food &amp; Beverages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</si>
  <si>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</si>
  <si>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</si>
  <si>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</si>
  <si>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</si>
  <si>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</si>
  <si>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</si>
  <si>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</si>
  <si>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</si>
  <si>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</si>
  <si>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</si>
  <si>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</si>
  <si>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</si>
  <si>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</si>
  <si>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</si>
  <si>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</si>
  <si>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</si>
  <si>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</si>
  <si>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</si>
  <si>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</si>
  <si>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Clothing &amp; Footwear</t>
  </si>
  <si>
    <t>Note</t>
  </si>
  <si>
    <t>Comments</t>
  </si>
  <si>
    <t xml:space="preserve">Raw Data Password </t>
  </si>
  <si>
    <t>Columns</t>
  </si>
  <si>
    <t xml:space="preserve">Data Type </t>
  </si>
  <si>
    <t>Description</t>
  </si>
  <si>
    <t>Housing, Fuel &amp; Utilities</t>
  </si>
  <si>
    <t>Health &amp; Personal Care</t>
  </si>
  <si>
    <t>Combined columns</t>
  </si>
  <si>
    <t>urban,rural, urban+rural</t>
  </si>
  <si>
    <t>2013 - 2023 years</t>
  </si>
  <si>
    <t>Analysis: Highest contribution towards CPI for latest month</t>
  </si>
  <si>
    <t>Y variable- Month</t>
  </si>
  <si>
    <t>Miscellaneous, Recreation &amp; Amusement</t>
  </si>
  <si>
    <t>Miscellaneous,Recreation &amp; Amusement</t>
  </si>
  <si>
    <t>Year_month</t>
  </si>
  <si>
    <t>2022 May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</si>
  <si>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</si>
  <si>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</si>
  <si>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</si>
  <si>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</si>
  <si>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</si>
  <si>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</si>
  <si>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</si>
  <si>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</si>
  <si>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</si>
  <si>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</si>
  <si>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</si>
  <si>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</si>
  <si>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Prepared meals, scks, sweets etc.</t>
  </si>
  <si>
    <t>Persol care and effects</t>
  </si>
  <si>
    <t>Data Cleaning</t>
  </si>
  <si>
    <t>Status?</t>
  </si>
  <si>
    <t>Contrubution of category = (index value of Category/ Total CPI)*100</t>
  </si>
  <si>
    <t>Total CPI</t>
  </si>
  <si>
    <t>Categories</t>
  </si>
  <si>
    <t>Months</t>
  </si>
  <si>
    <t>Year_Month</t>
  </si>
  <si>
    <t>1.Objective: Identify the highest contribution of different broader categories towards the CPI basket</t>
  </si>
  <si>
    <t>2. Idnetify the trend Y-O-Y increase in CPI (rural+Urban) inflation starting 2017 for all the combined categories</t>
  </si>
  <si>
    <t>Analysis: Depict growth rate Y-O-Y through graph and indentify the year with highest inflation rate</t>
  </si>
  <si>
    <t>Years</t>
  </si>
  <si>
    <t>Calcuated YOY increment growth by Urban+Rural</t>
  </si>
  <si>
    <t>Clubbed the similar categories</t>
  </si>
  <si>
    <t>Column Labels</t>
  </si>
  <si>
    <t>Grand Total</t>
  </si>
  <si>
    <t>Average of Food &amp; Beverages</t>
  </si>
  <si>
    <t>MOM Inflatio Rate</t>
  </si>
  <si>
    <t>M-O-M Inflation rate of Food &amp; Beverages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</si>
  <si>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</si>
  <si>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</si>
  <si>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</si>
  <si>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</si>
  <si>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</si>
  <si>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</si>
  <si>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</si>
  <si>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</si>
  <si>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</si>
  <si>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</si>
  <si>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3. Objective: Investigate trends in the prices of broader food bucket category and evaluate month-on-month changes.</t>
  </si>
  <si>
    <t>4. Objective: Investigate how the onset and progression of Covid-19 pandemic affected inflation rates in India.</t>
  </si>
  <si>
    <t>YoY Inflation</t>
  </si>
  <si>
    <t>Broader Categories</t>
  </si>
  <si>
    <t>Before Covid-19</t>
  </si>
  <si>
    <t>After Covid-19</t>
  </si>
  <si>
    <t>Top 5 Categories</t>
  </si>
  <si>
    <t>Transport &amp; Comm.</t>
  </si>
  <si>
    <t>Cleaned</t>
  </si>
  <si>
    <t>Sort with Smallest to Largest</t>
  </si>
  <si>
    <t>Add all the different unique categories</t>
  </si>
  <si>
    <t>Replace blanks with moving Avg.</t>
  </si>
  <si>
    <t>Replace NA with Moving Avg.</t>
  </si>
  <si>
    <t>Rural- NA &amp; Replace "-" &amp; blanks with moving Avg.</t>
  </si>
  <si>
    <t>Make new column using Year &amp; Month and change to date</t>
  </si>
  <si>
    <t xml:space="preserve">General Index YOY </t>
  </si>
  <si>
    <t>Y-O-Y %</t>
  </si>
  <si>
    <t xml:space="preserve">                                     Broader categories wise Y-O-Y inflation</t>
  </si>
  <si>
    <t>Inflation Rate</t>
  </si>
  <si>
    <t>Average of General index</t>
  </si>
  <si>
    <t>Category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</si>
  <si>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</si>
  <si>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</si>
  <si>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</si>
  <si>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</si>
  <si>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</si>
  <si>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</si>
  <si>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</si>
  <si>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</si>
  <si>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</si>
  <si>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</si>
  <si>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</si>
  <si>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</si>
  <si>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</si>
  <si>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Average of Cereals and products</t>
  </si>
  <si>
    <t>Average of Meat and fish</t>
  </si>
  <si>
    <t>Average of Egg</t>
  </si>
  <si>
    <t>Average of Milk and products</t>
  </si>
  <si>
    <t>Average of Fruits</t>
  </si>
  <si>
    <t>Average of Oils and fats</t>
  </si>
  <si>
    <t>Average of Vegetables</t>
  </si>
  <si>
    <t>Average of Pulses and products</t>
  </si>
  <si>
    <t>Average of Sugar and Confectionery</t>
  </si>
  <si>
    <t>Average of Spices</t>
  </si>
  <si>
    <t>Average of Non-alcoholic beverages</t>
  </si>
  <si>
    <t>Average of Prepared meals, snacks, sweets etc.</t>
  </si>
  <si>
    <t>Average of Food and beverages</t>
  </si>
  <si>
    <t>Average of Pan, tobacco and intoxicants</t>
  </si>
  <si>
    <t>Average of Clothing</t>
  </si>
  <si>
    <t>Average of Footwear</t>
  </si>
  <si>
    <t>Average of Clothing and footwear</t>
  </si>
  <si>
    <t>Average of Housing</t>
  </si>
  <si>
    <t>Average of Fuel and light</t>
  </si>
  <si>
    <t>Average of Household goods and services</t>
  </si>
  <si>
    <t>Average of Health</t>
  </si>
  <si>
    <t>Average of Transport and communication</t>
  </si>
  <si>
    <t>Average of Recreation and amusement</t>
  </si>
  <si>
    <t>Average of Education</t>
  </si>
  <si>
    <t>Average of Personal care and effects</t>
  </si>
  <si>
    <t>Average of Miscellaneous</t>
  </si>
  <si>
    <t>Year 2021-23</t>
  </si>
  <si>
    <t>Crude Oil FOB Price (Indian Basket)</t>
  </si>
  <si>
    <t>Correlation of Crude Oil Price with all category</t>
  </si>
  <si>
    <t>Crude Oil Import In (Rs.)</t>
  </si>
  <si>
    <t>Total Import of Oil</t>
  </si>
  <si>
    <t>Correlation 2021-23 Crude Oil Import</t>
  </si>
  <si>
    <t>Correlation 2021-23 Total Oil Import</t>
  </si>
  <si>
    <t xml:space="preserve">Average CPI of all categories for 2021 to 2023 </t>
  </si>
  <si>
    <t>Prepared meals, scks, sweets etc</t>
  </si>
  <si>
    <t>COVID-19 AFFECTED INFLATION RATE IN INDIA FROM MARCH 2019 -FEB 2020</t>
  </si>
  <si>
    <t>Essential Services</t>
  </si>
  <si>
    <t xml:space="preserve">Healthcare (Health): There is a noticeable increase in the CPI for healthcare each year, with a significant jump from 2019 to 2020. This suggests a substantial impact of the pandemic on healthcare costs.
</t>
  </si>
  <si>
    <t xml:space="preserve">Food and Beverages: The CPI for food and beverages shows some decrease over these years, reflecting the heightened importance and possibly disrupted supply chains of food items during the pandemic.
</t>
  </si>
  <si>
    <t>Essential Services: This sector also experienced a consistent rise in the CPI, indicating increased costs for essential Transport, Communication and Fuel,light items during the pandemic period.</t>
  </si>
  <si>
    <t>3. A</t>
  </si>
  <si>
    <t>M-O-M PRICE TRENDS OF BROADER FOOD BUCKET FOR JUN 2022- MAY 23</t>
  </si>
  <si>
    <t>3.B INFLATION BY INDIVIDUAL CATEGORY(ONLY WITH BROADER FOOD CATEGORY) FOR JUN 22- MAY 23</t>
  </si>
  <si>
    <t>5.A) M-O-M IMPORTED CRUDE OIL PRICE FLUCTUATIONS INFLATION FOR 2021 -2023</t>
  </si>
  <si>
    <t>YOY INCREASE IN CPI (Rural + Urban) INFLATION FROM 2017 to 2023 FOR THE ENTIRE BASKET</t>
  </si>
  <si>
    <t>Correlation Between Categoried And Imported Crude Oil (Rural+Urban)</t>
  </si>
  <si>
    <t>Text</t>
  </si>
  <si>
    <t>Number</t>
  </si>
  <si>
    <t>Year(Integer)</t>
  </si>
  <si>
    <t>Month(Integer)</t>
  </si>
  <si>
    <t>Date</t>
  </si>
  <si>
    <t>Date after combining year and month column</t>
  </si>
  <si>
    <r>
      <t>Analysis:</t>
    </r>
    <r>
      <rPr>
        <b/>
        <i/>
        <sz val="11"/>
        <color theme="1"/>
        <rFont val="Calibri"/>
        <family val="2"/>
        <scheme val="minor"/>
      </rPr>
      <t xml:space="preserve"> Price trends from Jun 2022- May 23 with hiegest and lowest month inflation</t>
    </r>
  </si>
  <si>
    <r>
      <t>Analysis:</t>
    </r>
    <r>
      <rPr>
        <b/>
        <i/>
        <sz val="11"/>
        <color theme="1"/>
        <rFont val="Calibri"/>
        <family val="2"/>
        <scheme val="minor"/>
      </rPr>
      <t xml:space="preserve"> Price trends from Jun 2022- May 23 for biggest individual category (Only within broader food category)</t>
    </r>
  </si>
  <si>
    <t>5. Objective: Investigate how imported crude oil fluctuations influenced inflation</t>
  </si>
  <si>
    <t>Analysis: Impact of first lockdown on the CPI inflation % before and after covid for categories like healthcare, food, and essentials services.</t>
  </si>
  <si>
    <t>Index value in Egg</t>
  </si>
  <si>
    <t>Inflation value in Milk &amp; products</t>
  </si>
  <si>
    <t>Index value in Cereals &amp; prod.</t>
  </si>
  <si>
    <t>Index value in Meat &amp; fish</t>
  </si>
  <si>
    <t>Index value in Oils &amp; fats</t>
  </si>
  <si>
    <t>Index value in Fruits</t>
  </si>
  <si>
    <t>Index value in Vegetables</t>
  </si>
  <si>
    <t>Index value in Pulses &amp; products</t>
  </si>
  <si>
    <t>Index value in Sugar &amp; Confectionery</t>
  </si>
  <si>
    <t>Index value in Spices</t>
  </si>
  <si>
    <t>Index value in Non &amp; beverages</t>
  </si>
  <si>
    <t>Index value in Prepared meals, snacks, sweets etc.</t>
  </si>
  <si>
    <t>Index value in Food &amp; beverages</t>
  </si>
  <si>
    <t>Index value in Pan, tobacco and intoxicants</t>
  </si>
  <si>
    <t>Index value in Clothing</t>
  </si>
  <si>
    <t>inflation in Footwear</t>
  </si>
  <si>
    <t>Index value in Clothing and footwear</t>
  </si>
  <si>
    <t>Index value in Housing</t>
  </si>
  <si>
    <t>Index value in Fuel and light</t>
  </si>
  <si>
    <t>Index value in Household goods and services</t>
  </si>
  <si>
    <t>Index value in Health</t>
  </si>
  <si>
    <t>Index value in Personal care and effects</t>
  </si>
  <si>
    <t>Index value in Transport and communication</t>
  </si>
  <si>
    <t>Index value in Education</t>
  </si>
  <si>
    <t>Index value in Recreation and amusement</t>
  </si>
  <si>
    <t>Index value in Miscellaneous</t>
  </si>
  <si>
    <t>Overall Index value for the month for all the categories combined</t>
  </si>
  <si>
    <t>Monthly Inflation Rate = (CPI in current month - CPI in prevoius month)*100</t>
  </si>
  <si>
    <t>Annual Inflation Rate = ()CPI at end year - CPI at start year)/CPI at start year)*100</t>
  </si>
  <si>
    <t xml:space="preserve"> Formulas Used In The Analysis</t>
  </si>
  <si>
    <t>Analysis: Identify the corelation between categories and imported crude oil.</t>
  </si>
  <si>
    <t xml:space="preserve"> Highest contribution of different broader categories towards the CPI basket</t>
  </si>
  <si>
    <t>Food &amp; Beverages has the hieghest inflation with 51% for the May -2023</t>
  </si>
  <si>
    <t>Reason: Due to 11% increment in Food &amp; Beverages category</t>
  </si>
  <si>
    <t>As graph is depicting hieghest inflation in year 2019 with 7.7% increment.</t>
  </si>
  <si>
    <t>Insights: It is observed that hieghest 0.7% inflation increased in month Dec-22 &amp; Feb-23.</t>
  </si>
  <si>
    <t>Insights: It is observed that lowest -0.6% inflation in month Oct-22 &amp; May-23.</t>
  </si>
  <si>
    <t>Insights: It is observed that hieghest 16.5 % inflation increment in Spices from Jun-22 to May-23.</t>
  </si>
  <si>
    <t>Transport and Communication: There is a steady increase in the CPI for this sector over the years, which correlate with rising oil prices (75%), as transport costs are directly affected by fuel prices.</t>
  </si>
  <si>
    <t>Other food sub-buckets: Meat &amp; Fish, Oil &amp; fats show a sharp correlation with oil prices but the overall food bucket correlation is about 78%.</t>
  </si>
  <si>
    <t>Fuel and Light: This sector shows a more pronounced increase in the CPI, from 2021 to 2023 about 66%. This trend is indicative of the impact of fluctuating oil prices on energy costs.</t>
  </si>
  <si>
    <t>Total</t>
  </si>
  <si>
    <t>MOM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</si>
</sst>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202124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79A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6" fillId="36" borderId="10" xfId="0" applyFont="1" applyFill="1" applyBorder="1"/>
    <xf numFmtId="0" fontId="18" fillId="36" borderId="10" xfId="0" applyFont="1" applyFill="1" applyBorder="1"/>
    <xf numFmtId="0" fontId="0" fillId="0" borderId="10" xfId="0" applyBorder="1"/>
    <xf numFmtId="9" fontId="0" fillId="0" borderId="0" xfId="42" applyFont="1"/>
    <xf numFmtId="0" fontId="16" fillId="39" borderId="0" xfId="0" applyFont="1" applyFill="1"/>
    <xf numFmtId="0" fontId="0" fillId="37" borderId="0" xfId="0" applyFill="1" applyAlignment="1">
      <alignment horizontal="center"/>
    </xf>
    <xf numFmtId="0" fontId="16" fillId="39" borderId="10" xfId="0" applyFont="1" applyFill="1" applyBorder="1"/>
    <xf numFmtId="0" fontId="0" fillId="39" borderId="10" xfId="0" applyFill="1" applyBorder="1"/>
    <xf numFmtId="0" fontId="0" fillId="0" borderId="10" xfId="0" applyBorder="1" applyAlignment="1">
      <alignment horizontal="center" vertical="center"/>
    </xf>
    <xf numFmtId="0" fontId="16" fillId="39" borderId="13" xfId="0" applyFont="1" applyFill="1" applyBorder="1"/>
    <xf numFmtId="9" fontId="0" fillId="0" borderId="10" xfId="42" applyFont="1" applyBorder="1" applyAlignment="1">
      <alignment horizontal="center"/>
    </xf>
    <xf numFmtId="9" fontId="0" fillId="35" borderId="10" xfId="42" applyFont="1" applyFill="1" applyBorder="1" applyAlignment="1">
      <alignment horizontal="center"/>
    </xf>
    <xf numFmtId="0" fontId="0" fillId="0" borderId="0" xfId="0" applyAlignment="1">
      <alignment horizontal="left"/>
    </xf>
    <xf numFmtId="164" fontId="0" fillId="0" borderId="10" xfId="42" applyNumberFormat="1" applyFont="1" applyBorder="1"/>
    <xf numFmtId="0" fontId="20" fillId="0" borderId="0" xfId="0" applyFont="1"/>
    <xf numFmtId="0" fontId="25" fillId="0" borderId="0" xfId="0" applyFont="1"/>
    <xf numFmtId="0" fontId="20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0" borderId="0" xfId="0" pivotButton="1"/>
    <xf numFmtId="164" fontId="0" fillId="0" borderId="0" xfId="42" applyNumberFormat="1" applyFont="1"/>
    <xf numFmtId="14" fontId="0" fillId="35" borderId="0" xfId="0" applyNumberFormat="1" applyFill="1"/>
    <xf numFmtId="14" fontId="0" fillId="0" borderId="0" xfId="0" applyNumberFormat="1"/>
    <xf numFmtId="165" fontId="0" fillId="0" borderId="0" xfId="0" applyNumberFormat="1"/>
    <xf numFmtId="165" fontId="0" fillId="35" borderId="0" xfId="0" applyNumberFormat="1" applyFill="1"/>
    <xf numFmtId="165" fontId="0" fillId="0" borderId="0" xfId="42" applyNumberFormat="1" applyFont="1"/>
    <xf numFmtId="0" fontId="0" fillId="46" borderId="10" xfId="0" applyFill="1" applyBorder="1"/>
    <xf numFmtId="0" fontId="16" fillId="41" borderId="10" xfId="0" applyFont="1" applyFill="1" applyBorder="1"/>
    <xf numFmtId="14" fontId="13" fillId="45" borderId="10" xfId="0" applyNumberFormat="1" applyFont="1" applyFill="1" applyBorder="1" applyAlignment="1">
      <alignment horizontal="center"/>
    </xf>
    <xf numFmtId="0" fontId="13" fillId="45" borderId="10" xfId="0" applyFont="1" applyFill="1" applyBorder="1" applyAlignment="1">
      <alignment horizontal="center"/>
    </xf>
    <xf numFmtId="14" fontId="16" fillId="0" borderId="0" xfId="0" applyNumberFormat="1" applyFont="1"/>
    <xf numFmtId="0" fontId="16" fillId="33" borderId="10" xfId="0" applyFont="1" applyFill="1" applyBorder="1"/>
    <xf numFmtId="0" fontId="0" fillId="37" borderId="10" xfId="0" applyFill="1" applyBorder="1"/>
    <xf numFmtId="164" fontId="0" fillId="37" borderId="10" xfId="42" applyNumberFormat="1" applyFont="1" applyFill="1" applyBorder="1"/>
    <xf numFmtId="0" fontId="16" fillId="40" borderId="10" xfId="0" applyFont="1" applyFill="1" applyBorder="1"/>
    <xf numFmtId="164" fontId="16" fillId="40" borderId="10" xfId="42" applyNumberFormat="1" applyFont="1" applyFill="1" applyBorder="1"/>
    <xf numFmtId="0" fontId="0" fillId="53" borderId="10" xfId="0" applyFill="1" applyBorder="1"/>
    <xf numFmtId="0" fontId="18" fillId="33" borderId="0" xfId="0" applyFont="1" applyFill="1"/>
    <xf numFmtId="0" fontId="18" fillId="34" borderId="0" xfId="0" applyFont="1" applyFill="1"/>
    <xf numFmtId="0" fontId="23" fillId="39" borderId="10" xfId="0" applyFont="1" applyFill="1" applyBorder="1"/>
    <xf numFmtId="0" fontId="27" fillId="54" borderId="10" xfId="0" applyFont="1" applyFill="1" applyBorder="1"/>
    <xf numFmtId="0" fontId="0" fillId="0" borderId="10" xfId="0" applyBorder="1" applyAlignment="1">
      <alignment horizontal="left"/>
    </xf>
    <xf numFmtId="0" fontId="23" fillId="37" borderId="10" xfId="0" applyFont="1" applyFill="1" applyBorder="1"/>
    <xf numFmtId="9" fontId="23" fillId="37" borderId="10" xfId="42" applyFont="1" applyFill="1" applyBorder="1"/>
    <xf numFmtId="0" fontId="27" fillId="54" borderId="10" xfId="0" applyFont="1" applyFill="1" applyBorder="1" applyAlignment="1">
      <alignment vertical="center" wrapText="1"/>
    </xf>
    <xf numFmtId="165" fontId="28" fillId="0" borderId="10" xfId="0" applyNumberFormat="1" applyFont="1" applyBorder="1"/>
    <xf numFmtId="0" fontId="16" fillId="34" borderId="10" xfId="0" applyFont="1" applyFill="1" applyBorder="1"/>
    <xf numFmtId="0" fontId="16" fillId="43" borderId="10" xfId="0" applyFont="1" applyFill="1" applyBorder="1"/>
    <xf numFmtId="0" fontId="16" fillId="40" borderId="0" xfId="0" applyFont="1" applyFill="1"/>
    <xf numFmtId="0" fontId="0" fillId="41" borderId="10" xfId="0" applyFill="1" applyBorder="1"/>
    <xf numFmtId="0" fontId="16" fillId="0" borderId="0" xfId="0" applyFont="1" applyAlignment="1">
      <alignment vertical="center"/>
    </xf>
    <xf numFmtId="4" fontId="0" fillId="0" borderId="10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16" fillId="40" borderId="10" xfId="0" applyFont="1" applyFill="1" applyBorder="1" applyAlignment="1">
      <alignment vertical="center"/>
    </xf>
    <xf numFmtId="0" fontId="16" fillId="40" borderId="10" xfId="0" applyFont="1" applyFill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16" fontId="0" fillId="0" borderId="10" xfId="0" applyNumberFormat="1" applyBorder="1" applyAlignment="1">
      <alignment horizontal="center"/>
    </xf>
    <xf numFmtId="0" fontId="16" fillId="0" borderId="0" xfId="0" applyFon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42" applyNumberFormat="1" applyFont="1" applyBorder="1"/>
    <xf numFmtId="9" fontId="0" fillId="0" borderId="10" xfId="42" applyFont="1" applyBorder="1"/>
    <xf numFmtId="9" fontId="16" fillId="34" borderId="10" xfId="42" applyFont="1" applyFill="1" applyBorder="1"/>
    <xf numFmtId="164" fontId="0" fillId="55" borderId="10" xfId="42" applyNumberFormat="1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9" fontId="0" fillId="37" borderId="10" xfId="42" applyFont="1" applyFill="1" applyBorder="1" applyAlignment="1">
      <alignment horizontal="center"/>
    </xf>
    <xf numFmtId="164" fontId="0" fillId="37" borderId="10" xfId="42" applyNumberFormat="1" applyFont="1" applyFill="1" applyBorder="1" applyAlignment="1">
      <alignment horizontal="center"/>
    </xf>
    <xf numFmtId="0" fontId="0" fillId="37" borderId="10" xfId="0" applyFill="1" applyBorder="1" applyAlignment="1">
      <alignment horizontal="left"/>
    </xf>
    <xf numFmtId="0" fontId="16" fillId="43" borderId="10" xfId="0" applyFont="1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18" fillId="44" borderId="18" xfId="0" applyFont="1" applyFill="1" applyBorder="1"/>
    <xf numFmtId="0" fontId="18" fillId="44" borderId="19" xfId="0" applyFont="1" applyFill="1" applyBorder="1"/>
    <xf numFmtId="0" fontId="18" fillId="34" borderId="10" xfId="0" applyFont="1" applyFill="1" applyBorder="1" applyAlignment="1">
      <alignment horizontal="center"/>
    </xf>
    <xf numFmtId="0" fontId="18" fillId="40" borderId="10" xfId="0" applyFont="1" applyFill="1" applyBorder="1" applyAlignment="1">
      <alignment horizontal="center"/>
    </xf>
    <xf numFmtId="17" fontId="18" fillId="40" borderId="10" xfId="0" applyNumberFormat="1" applyFont="1" applyFill="1" applyBorder="1" applyAlignment="1">
      <alignment horizontal="center"/>
    </xf>
    <xf numFmtId="0" fontId="16" fillId="41" borderId="10" xfId="0" applyFont="1" applyFill="1" applyBorder="1" applyAlignment="1">
      <alignment horizontal="left"/>
    </xf>
    <xf numFmtId="14" fontId="16" fillId="40" borderId="10" xfId="0" applyNumberFormat="1" applyFont="1" applyFill="1" applyBorder="1"/>
    <xf numFmtId="0" fontId="0" fillId="0" borderId="10" xfId="0" applyBorder="1" applyAlignment="1">
      <alignment horizontal="center"/>
    </xf>
    <xf numFmtId="0" fontId="0" fillId="42" borderId="10" xfId="0" applyFill="1" applyBorder="1"/>
    <xf numFmtId="0" fontId="0" fillId="47" borderId="10" xfId="0" applyFill="1" applyBorder="1"/>
    <xf numFmtId="0" fontId="0" fillId="48" borderId="10" xfId="0" applyFill="1" applyBorder="1"/>
    <xf numFmtId="0" fontId="0" fillId="49" borderId="10" xfId="0" applyFill="1" applyBorder="1"/>
    <xf numFmtId="0" fontId="0" fillId="50" borderId="10" xfId="0" applyFill="1" applyBorder="1"/>
    <xf numFmtId="0" fontId="0" fillId="51" borderId="10" xfId="0" applyFill="1" applyBorder="1"/>
    <xf numFmtId="0" fontId="0" fillId="51" borderId="10" xfId="0" applyFill="1" applyBorder="1" applyAlignment="1">
      <alignment horizontal="center"/>
    </xf>
    <xf numFmtId="0" fontId="0" fillId="52" borderId="10" xfId="0" applyFill="1" applyBorder="1"/>
    <xf numFmtId="0" fontId="0" fillId="35" borderId="10" xfId="0" applyFill="1" applyBorder="1"/>
    <xf numFmtId="0" fontId="16" fillId="40" borderId="15" xfId="0" applyFont="1" applyFill="1" applyBorder="1"/>
    <xf numFmtId="0" fontId="0" fillId="42" borderId="0" xfId="0" applyFill="1"/>
    <xf numFmtId="0" fontId="0" fillId="57" borderId="0" xfId="0" applyFill="1"/>
    <xf numFmtId="0" fontId="0" fillId="57" borderId="0" xfId="0" applyFill="1" applyAlignment="1">
      <alignment vertical="center"/>
    </xf>
    <xf numFmtId="0" fontId="0" fillId="34" borderId="10" xfId="0" applyFill="1" applyBorder="1"/>
    <xf numFmtId="0" fontId="29" fillId="0" borderId="0" xfId="0" applyFont="1"/>
    <xf numFmtId="0" fontId="19" fillId="33" borderId="10" xfId="0" applyFont="1" applyFill="1" applyBorder="1"/>
    <xf numFmtId="0" fontId="29" fillId="33" borderId="10" xfId="0" applyFont="1" applyFill="1" applyBorder="1"/>
    <xf numFmtId="0" fontId="21" fillId="42" borderId="0" xfId="0" applyFont="1" applyFill="1"/>
    <xf numFmtId="0" fontId="16" fillId="42" borderId="0" xfId="0" applyFont="1" applyFill="1"/>
    <xf numFmtId="0" fontId="21" fillId="42" borderId="17" xfId="0" applyFont="1" applyFill="1" applyBorder="1"/>
    <xf numFmtId="0" fontId="0" fillId="58" borderId="10" xfId="0" applyFill="1" applyBorder="1"/>
    <xf numFmtId="0" fontId="0" fillId="59" borderId="10" xfId="0" applyFill="1" applyBorder="1" applyAlignment="1">
      <alignment horizontal="center" vertical="center"/>
    </xf>
    <xf numFmtId="0" fontId="0" fillId="59" borderId="10" xfId="0" applyFill="1" applyBorder="1" applyAlignment="1">
      <alignment horizontal="center" vertical="center" wrapText="1"/>
    </xf>
    <xf numFmtId="0" fontId="0" fillId="59" borderId="10" xfId="0" applyFill="1" applyBorder="1"/>
    <xf numFmtId="0" fontId="0" fillId="60" borderId="10" xfId="0" applyFill="1" applyBorder="1"/>
    <xf numFmtId="0" fontId="22" fillId="38" borderId="10" xfId="0" applyFont="1" applyFill="1" applyBorder="1"/>
    <xf numFmtId="0" fontId="18" fillId="0" borderId="0" xfId="0" applyFont="1" applyAlignment="1">
      <alignment vertical="center"/>
    </xf>
    <xf numFmtId="164" fontId="0" fillId="0" borderId="0" xfId="0" applyNumberFormat="1"/>
    <xf numFmtId="0" fontId="19" fillId="42" borderId="18" xfId="0" applyFont="1" applyFill="1" applyBorder="1" applyAlignment="1">
      <alignment horizontal="center"/>
    </xf>
    <xf numFmtId="0" fontId="19" fillId="42" borderId="20" xfId="0" applyFont="1" applyFill="1" applyBorder="1" applyAlignment="1">
      <alignment horizontal="center"/>
    </xf>
    <xf numFmtId="0" fontId="18" fillId="40" borderId="10" xfId="0" applyFont="1" applyFill="1" applyBorder="1" applyAlignment="1">
      <alignment horizontal="center"/>
    </xf>
    <xf numFmtId="0" fontId="22" fillId="37" borderId="0" xfId="0" applyFont="1" applyFill="1" applyAlignment="1">
      <alignment horizontal="center" wrapText="1"/>
    </xf>
    <xf numFmtId="0" fontId="23" fillId="34" borderId="10" xfId="0" applyFont="1" applyFill="1" applyBorder="1" applyAlignment="1">
      <alignment horizontal="center" vertical="center" textRotation="90"/>
    </xf>
    <xf numFmtId="0" fontId="22" fillId="40" borderId="16" xfId="0" applyFont="1" applyFill="1" applyBorder="1" applyAlignment="1">
      <alignment horizontal="center"/>
    </xf>
    <xf numFmtId="0" fontId="22" fillId="40" borderId="17" xfId="0" applyFont="1" applyFill="1" applyBorder="1" applyAlignment="1">
      <alignment horizontal="center"/>
    </xf>
    <xf numFmtId="0" fontId="24" fillId="42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18" fillId="38" borderId="15" xfId="0" applyFont="1" applyFill="1" applyBorder="1" applyAlignment="1">
      <alignment horizontal="center"/>
    </xf>
    <xf numFmtId="0" fontId="0" fillId="34" borderId="10" xfId="0" applyFill="1" applyBorder="1" applyAlignment="1">
      <alignment horizontal="center" vertical="center" textRotation="90"/>
    </xf>
    <xf numFmtId="0" fontId="16" fillId="34" borderId="10" xfId="0" applyFont="1" applyFill="1" applyBorder="1" applyAlignment="1">
      <alignment horizontal="center" vertical="center" textRotation="90" wrapText="1"/>
    </xf>
    <xf numFmtId="0" fontId="16" fillId="34" borderId="10" xfId="0" applyFont="1" applyFill="1" applyBorder="1" applyAlignment="1">
      <alignment horizontal="center" vertical="center" textRotation="90"/>
    </xf>
    <xf numFmtId="0" fontId="22" fillId="44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61" borderId="10" xfId="0" applyFont="1" applyFill="1" applyBorder="1" applyAlignment="1">
      <alignment horizontal="left" vertical="top"/>
    </xf>
    <xf numFmtId="0" fontId="13" fillId="56" borderId="10" xfId="0" applyFont="1" applyFill="1" applyBorder="1" applyAlignment="1">
      <alignment horizontal="left" vertical="top" wrapText="1"/>
    </xf>
    <xf numFmtId="0" fontId="16" fillId="33" borderId="10" xfId="0" applyFont="1" applyFill="1" applyBorder="1" applyAlignment="1">
      <alignment horizontal="left" vertical="top" wrapText="1"/>
    </xf>
    <xf numFmtId="0" fontId="0" fillId="33" borderId="10" xfId="0" applyFill="1" applyBorder="1" applyAlignment="1">
      <alignment horizontal="left" vertical="top"/>
    </xf>
    <xf numFmtId="0" fontId="16" fillId="42" borderId="10" xfId="0" applyFont="1" applyFill="1" applyBorder="1" applyAlignment="1">
      <alignment horizontal="left" vertical="top" wrapText="1"/>
    </xf>
    <xf numFmtId="0" fontId="0" fillId="42" borderId="10" xfId="0" applyFill="1" applyBorder="1" applyAlignment="1">
      <alignment horizontal="left" vertical="top"/>
    </xf>
    <xf numFmtId="0" fontId="19" fillId="38" borderId="10" xfId="0" applyFont="1" applyFill="1" applyBorder="1" applyAlignment="1">
      <alignment horizontal="center"/>
    </xf>
    <xf numFmtId="0" fontId="22" fillId="42" borderId="10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 textRotation="90" wrapText="1"/>
    </xf>
    <xf numFmtId="0" fontId="16" fillId="34" borderId="14" xfId="0" applyFont="1" applyFill="1" applyBorder="1" applyAlignment="1">
      <alignment horizontal="center" textRotation="90" wrapText="1"/>
    </xf>
    <xf numFmtId="0" fontId="16" fillId="34" borderId="15" xfId="0" applyFont="1" applyFill="1" applyBorder="1" applyAlignment="1">
      <alignment horizontal="center" textRotation="90" wrapText="1"/>
    </xf>
    <xf numFmtId="0" fontId="16" fillId="41" borderId="13" xfId="0" applyFont="1" applyFill="1" applyBorder="1" applyAlignment="1">
      <alignment horizontal="center" textRotation="90" wrapText="1"/>
    </xf>
    <xf numFmtId="0" fontId="16" fillId="41" borderId="14" xfId="0" applyFont="1" applyFill="1" applyBorder="1" applyAlignment="1">
      <alignment horizontal="center" textRotation="90" wrapText="1"/>
    </xf>
    <xf numFmtId="0" fontId="16" fillId="41" borderId="15" xfId="0" applyFont="1" applyFill="1" applyBorder="1" applyAlignment="1">
      <alignment horizontal="center" textRotation="90" wrapText="1"/>
    </xf>
    <xf numFmtId="0" fontId="18" fillId="42" borderId="10" xfId="0" applyFont="1" applyFill="1" applyBorder="1" applyAlignment="1">
      <alignment horizontal="center"/>
    </xf>
    <xf numFmtId="0" fontId="16" fillId="41" borderId="13" xfId="0" applyFont="1" applyFill="1" applyBorder="1" applyAlignment="1">
      <alignment horizontal="center" textRotation="45" wrapText="1"/>
    </xf>
    <xf numFmtId="0" fontId="16" fillId="41" borderId="15" xfId="0" applyFont="1" applyFill="1" applyBorder="1" applyAlignment="1">
      <alignment horizontal="center" textRotation="45" wrapText="1"/>
    </xf>
    <xf numFmtId="0" fontId="16" fillId="41" borderId="10" xfId="0" applyFont="1" applyFill="1" applyBorder="1" applyAlignment="1">
      <alignment horizontal="center" textRotation="90"/>
    </xf>
    <xf numFmtId="0" fontId="16" fillId="41" borderId="10" xfId="0" applyFont="1" applyFill="1" applyBorder="1" applyAlignment="1">
      <alignment horizontal="center" textRotation="90" wrapText="1"/>
    </xf>
    <xf numFmtId="0" fontId="16" fillId="41" borderId="11" xfId="0" applyFont="1" applyFill="1" applyBorder="1" applyAlignment="1">
      <alignment horizontal="center" textRotation="90" wrapText="1"/>
    </xf>
    <xf numFmtId="0" fontId="16" fillId="41" borderId="12" xfId="0" applyFont="1" applyFill="1" applyBorder="1" applyAlignment="1">
      <alignment horizontal="center" textRotation="90" wrapText="1"/>
    </xf>
    <xf numFmtId="0" fontId="18" fillId="38" borderId="10" xfId="0" applyFont="1" applyFill="1" applyBorder="1" applyAlignment="1">
      <alignment horizontal="left" vertical="center" wrapText="1"/>
    </xf>
    <xf numFmtId="0" fontId="24" fillId="38" borderId="10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16" fillId="38" borderId="10" xfId="0" applyFont="1" applyFill="1" applyBorder="1" applyAlignment="1">
      <alignment horizontal="center" vertical="center"/>
    </xf>
    <xf numFmtId="0" fontId="24" fillId="42" borderId="10" xfId="0" applyFont="1" applyFill="1" applyBorder="1" applyAlignment="1">
      <alignment horizontal="center" wrapText="1"/>
    </xf>
    <xf numFmtId="0" fontId="18" fillId="42" borderId="18" xfId="0" applyFont="1" applyFill="1" applyBorder="1" applyAlignment="1">
      <alignment horizontal="center"/>
    </xf>
    <xf numFmtId="0" fontId="18" fillId="42" borderId="20" xfId="0" applyFont="1" applyFill="1" applyBorder="1" applyAlignment="1">
      <alignment horizontal="center"/>
    </xf>
    <xf numFmtId="0" fontId="18" fillId="42" borderId="19" xfId="0" applyFont="1" applyFill="1" applyBorder="1" applyAlignment="1">
      <alignment horizontal="center"/>
    </xf>
    <xf numFmtId="0" fontId="18" fillId="61" borderId="10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9" fillId="40" borderId="18" xfId="0" applyFont="1" applyFill="1" applyBorder="1" applyAlignment="1">
      <alignment horizontal="center"/>
    </xf>
    <xf numFmtId="0" fontId="19" fillId="40" borderId="20" xfId="0" applyFont="1" applyFill="1" applyBorder="1" applyAlignment="1">
      <alignment horizontal="center"/>
    </xf>
    <xf numFmtId="0" fontId="30" fillId="42" borderId="17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42" borderId="16" xfId="0" applyFont="1" applyFill="1" applyBorder="1" applyAlignment="1">
      <alignment horizontal="center"/>
    </xf>
    <xf numFmtId="0" fontId="21" fillId="42" borderId="17" xfId="0" applyFont="1" applyFill="1" applyBorder="1" applyAlignment="1">
      <alignment horizontal="center"/>
    </xf>
    <xf numFmtId="0" fontId="19" fillId="40" borderId="10" xfId="0" applyFont="1" applyFill="1" applyBorder="1" applyAlignment="1">
      <alignment horizontal="center"/>
    </xf>
    <xf numFmtId="0" fontId="16" fillId="42" borderId="0" xfId="0" applyFont="1" applyFill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24" fillId="40" borderId="10" xfId="0" applyFont="1" applyFill="1" applyBorder="1" applyAlignment="1">
      <alignment horizontal="center" vertical="center"/>
    </xf>
    <xf numFmtId="0" fontId="0" fillId="49" borderId="10" xfId="0" applyFill="1" applyBorder="1" applyAlignment="1">
      <alignment horizontal="center" vertical="center" wrapText="1"/>
    </xf>
    <xf numFmtId="0" fontId="0" fillId="52" borderId="10" xfId="0" applyFill="1" applyBorder="1" applyAlignment="1">
      <alignment horizontal="center"/>
    </xf>
    <xf numFmtId="0" fontId="16" fillId="40" borderId="10" xfId="0" applyFont="1" applyFill="1" applyBorder="1" applyAlignment="1">
      <alignment horizontal="center"/>
    </xf>
    <xf numFmtId="0" fontId="0" fillId="42" borderId="10" xfId="0" applyFill="1" applyBorder="1" applyAlignment="1">
      <alignment horizontal="center" vertical="center" wrapText="1"/>
    </xf>
    <xf numFmtId="0" fontId="0" fillId="47" borderId="10" xfId="0" applyFill="1" applyBorder="1" applyAlignment="1">
      <alignment horizontal="center" vertical="center" wrapText="1"/>
    </xf>
    <xf numFmtId="0" fontId="0" fillId="48" borderId="10" xfId="0" applyFill="1" applyBorder="1" applyAlignment="1">
      <alignment horizontal="center" vertical="center" wrapText="1"/>
    </xf>
    <xf numFmtId="0" fontId="29" fillId="62" borderId="0" xfId="0" applyFont="1" applyFill="1" applyBorder="1"/>
    <xf numFmtId="0" fontId="19" fillId="42" borderId="18" xfId="0" applyFont="1" applyFill="1" applyBorder="1" applyAlignment="1"/>
    <xf numFmtId="0" fontId="19" fillId="42" borderId="20" xfId="0" applyFont="1" applyFill="1" applyBorder="1" applyAlignment="1"/>
    <xf numFmtId="0" fontId="19" fillId="42" borderId="19" xfId="0" applyFont="1" applyFill="1" applyBorder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</dxf>
    <dxf>
      <fill>
        <patternFill>
          <bgColor rgb="FFFF4343"/>
        </patternFill>
      </fill>
    </dxf>
  </dxfs>
  <tableStyles count="0" defaultTableStyle="TableStyleMedium2" defaultPivotStyle="PivotStyleLight16"/>
  <colors>
    <mruColors>
      <color rgb="FFC24B3E"/>
      <color rgb="FF000000"/>
      <color rgb="FFFF33CC"/>
      <color rgb="FFFFCCCC"/>
      <color rgb="FF2179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Contribution Of Broader Categories Based On Month</a:t>
            </a:r>
          </a:p>
          <a:p>
            <a:pPr>
              <a:defRPr/>
            </a:pPr>
            <a:endParaRPr lang="en-US" b="1"/>
          </a:p>
        </c:rich>
      </c:tx>
      <c:layout>
        <c:manualLayout>
          <c:xMode val="edge"/>
          <c:yMode val="edge"/>
          <c:x val="0.29969104825040849"/>
          <c:y val="1.7519082695312251E-2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710029766800859E-2"/>
          <c:y val="0.17997201912807939"/>
          <c:w val="0.97797114320181078"/>
          <c:h val="0.60556792313895613"/>
        </c:manualLayout>
      </c:layout>
      <c:pie3DChart>
        <c:varyColors val="1"/>
        <c:ser>
          <c:idx val="0"/>
          <c:order val="0"/>
          <c:tx>
            <c:strRef>
              <c:f>'EDA 1'!$B$16:$C$16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spPr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C86-4FF1-B1AF-91DA582443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C86-4FF1-B1AF-91DA582443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C86-4FF1-B1AF-91DA582443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C86-4FF1-B1AF-91DA582443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C86-4FF1-B1AF-91DA582443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C86-4FF1-B1AF-91DA582443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C86-4FF1-B1AF-91DA582443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C86-4FF1-B1AF-91DA582443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C86-4FF1-B1AF-91DA58244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'EDA 1'!$D$15:$K$15</c:f>
              <c:strCache>
                <c:ptCount val="8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</c:strCache>
            </c:strRef>
          </c:cat>
          <c:val>
            <c:numRef>
              <c:f>'EDA 1'!$D$16:$K$16</c:f>
              <c:numCache>
                <c:formatCode>0%</c:formatCode>
                <c:ptCount val="8"/>
                <c:pt idx="0">
                  <c:v>4.0077353961056272E-2</c:v>
                </c:pt>
                <c:pt idx="1">
                  <c:v>4.4434071307904319E-2</c:v>
                </c:pt>
                <c:pt idx="2">
                  <c:v>3.7721170089801713E-2</c:v>
                </c:pt>
                <c:pt idx="3">
                  <c:v>0.50918022583800127</c:v>
                </c:pt>
                <c:pt idx="4">
                  <c:v>0.12667822530452563</c:v>
                </c:pt>
                <c:pt idx="5">
                  <c:v>8.0532586467502429E-2</c:v>
                </c:pt>
                <c:pt idx="6">
                  <c:v>8.2844314039299358E-2</c:v>
                </c:pt>
                <c:pt idx="7">
                  <c:v>7.8532052991908935E-2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B0-4617-92E5-8744BE6AB6F2}"/>
            </c:ext>
          </c:extLst>
        </c:ser>
        <c:ser>
          <c:idx val="1"/>
          <c:order val="1"/>
          <c:tx>
            <c:strRef>
              <c:f>'EDA 1'!$B$17:$C$17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C86-4FF1-B1AF-91DA582443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C86-4FF1-B1AF-91DA582443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C86-4FF1-B1AF-91DA582443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8C86-4FF1-B1AF-91DA582443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8C86-4FF1-B1AF-91DA582443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8C86-4FF1-B1AF-91DA582443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8C86-4FF1-B1AF-91DA582443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8C86-4FF1-B1AF-91DA582443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8C86-4FF1-B1AF-91DA58244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'EDA 1'!$D$15:$K$15</c:f>
              <c:strCache>
                <c:ptCount val="8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</c:strCache>
            </c:strRef>
          </c:cat>
          <c:val>
            <c:numRef>
              <c:f>'EDA 1'!$D$17:$K$17</c:f>
              <c:numCache>
                <c:formatCode>0%</c:formatCode>
                <c:ptCount val="8"/>
                <c:pt idx="0">
                  <c:v>3.766510806093646E-2</c:v>
                </c:pt>
                <c:pt idx="1">
                  <c:v>4.4000086190178631E-2</c:v>
                </c:pt>
                <c:pt idx="2">
                  <c:v>3.4562261630287236E-2</c:v>
                </c:pt>
                <c:pt idx="3">
                  <c:v>0.50315671529229244</c:v>
                </c:pt>
                <c:pt idx="4">
                  <c:v>0.1139218686030727</c:v>
                </c:pt>
                <c:pt idx="5">
                  <c:v>0.11400805878170184</c:v>
                </c:pt>
                <c:pt idx="6">
                  <c:v>7.9251869249499021E-2</c:v>
                </c:pt>
                <c:pt idx="7">
                  <c:v>7.343403219203172E-2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B0-4617-92E5-8744BE6AB6F2}"/>
            </c:ext>
          </c:extLst>
        </c:ser>
        <c:ser>
          <c:idx val="2"/>
          <c:order val="2"/>
          <c:tx>
            <c:strRef>
              <c:f>'EDA 1'!$B$18:$C$18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8C86-4FF1-B1AF-91DA582443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8C86-4FF1-B1AF-91DA582443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8C86-4FF1-B1AF-91DA582443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8C86-4FF1-B1AF-91DA582443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8C86-4FF1-B1AF-91DA582443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8C86-4FF1-B1AF-91DA582443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8C86-4FF1-B1AF-91DA582443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8C86-4FF1-B1AF-91DA582443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8C86-4FF1-B1AF-91DA58244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'EDA 1'!$D$15:$K$15</c:f>
              <c:strCache>
                <c:ptCount val="8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</c:strCache>
            </c:strRef>
          </c:cat>
          <c:val>
            <c:numRef>
              <c:f>'EDA 1'!$D$18:$K$18</c:f>
              <c:numCache>
                <c:formatCode>0%</c:formatCode>
                <c:ptCount val="8"/>
                <c:pt idx="0">
                  <c:v>3.8050017188037126E-2</c:v>
                </c:pt>
                <c:pt idx="1">
                  <c:v>4.3184943279477486E-2</c:v>
                </c:pt>
                <c:pt idx="2">
                  <c:v>3.5407356479890004E-2</c:v>
                </c:pt>
                <c:pt idx="3">
                  <c:v>0.49563853557923693</c:v>
                </c:pt>
                <c:pt idx="4">
                  <c:v>0.11885527672739775</c:v>
                </c:pt>
                <c:pt idx="5">
                  <c:v>0.11464420763148847</c:v>
                </c:pt>
                <c:pt idx="6">
                  <c:v>7.9688037126160197E-2</c:v>
                </c:pt>
                <c:pt idx="7">
                  <c:v>7.4531625988312131E-2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B0-4617-92E5-8744BE6AB6F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b"/>
      <c:layout>
        <c:manualLayout>
          <c:xMode val="edge"/>
          <c:yMode val="edge"/>
          <c:x val="6.8488564804916358E-2"/>
          <c:y val="0.84889667024313442"/>
          <c:w val="0.91055873324122538"/>
          <c:h val="0.14409569667874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Y-O-Y</a:t>
            </a:r>
            <a:r>
              <a:rPr lang="en-US" sz="1600" b="1" baseline="0">
                <a:solidFill>
                  <a:schemeClr val="tx1"/>
                </a:solidFill>
              </a:rPr>
              <a:t> Rate</a:t>
            </a:r>
            <a:endParaRPr lang="en-US" sz="1600" b="1">
              <a:solidFill>
                <a:schemeClr val="tx1"/>
              </a:solidFill>
            </a:endParaRP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89940063462216"/>
          <c:y val="0.18300925925925926"/>
          <c:w val="0.88677224115642261"/>
          <c:h val="0.66164370078740153"/>
        </c:manualLayout>
      </c:layout>
      <c:lineChart>
        <c:grouping val="standard"/>
        <c:varyColors val="0"/>
        <c:ser>
          <c:idx val="0"/>
          <c:order val="0"/>
          <c:tx>
            <c:strRef>
              <c:f>'EDA 2'!$F$6</c:f>
              <c:strCache>
                <c:ptCount val="1"/>
                <c:pt idx="0">
                  <c:v>Y-O-Y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 2'!$C$7:$C$12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 2'!$F$7:$F$12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31-4387-B2C9-3B74A54CFD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5059104"/>
        <c:axId val="455059496"/>
      </c:lineChart>
      <c:catAx>
        <c:axId val="45505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Years</a:t>
                </a:r>
              </a:p>
            </c:rich>
          </c:tx>
          <c:layout>
            <c:manualLayout>
              <c:xMode val="edge"/>
              <c:yMode val="edge"/>
              <c:x val="0.48951636029988943"/>
              <c:y val="0.92034703995333922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59496"/>
        <c:crosses val="autoZero"/>
        <c:auto val="1"/>
        <c:lblAlgn val="ctr"/>
        <c:lblOffset val="100"/>
        <c:noMultiLvlLbl val="0"/>
      </c:catAx>
      <c:valAx>
        <c:axId val="455059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Inflation Rate</a:t>
                </a:r>
              </a:p>
            </c:rich>
          </c:tx>
          <c:layout>
            <c:manualLayout>
              <c:xMode val="edge"/>
              <c:yMode val="edge"/>
              <c:x val="5.316792202038104E-3"/>
              <c:y val="0.33360345581802275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2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59104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1"/>
          </a:solidFill>
          <a:prstDash val="solid"/>
          <a:miter lim="800000"/>
        </a:ln>
        <a:effectLst/>
      </c:spPr>
    </c:plotArea>
    <c:plotVisOnly val="1"/>
    <c:dispBlanksAs val="gap"/>
    <c:showDLblsOverMax val="0"/>
  </c:chart>
  <c:spPr>
    <a:gradFill rotWithShape="1">
      <a:gsLst>
        <a:gs pos="0">
          <a:schemeClr val="accent3">
            <a:lumMod val="110000"/>
            <a:satMod val="105000"/>
            <a:tint val="67000"/>
          </a:schemeClr>
        </a:gs>
        <a:gs pos="50000">
          <a:schemeClr val="accent3">
            <a:lumMod val="105000"/>
            <a:satMod val="103000"/>
            <a:tint val="73000"/>
          </a:schemeClr>
        </a:gs>
        <a:gs pos="100000">
          <a:schemeClr val="accent3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tx1"/>
      </a:solidFill>
      <a:prstDash val="solid"/>
      <a:miter lim="800000"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</a:t>
            </a:r>
            <a:r>
              <a:rPr lang="en-US" baseline="0"/>
              <a:t> </a:t>
            </a:r>
            <a:r>
              <a:rPr lang="en-US"/>
              <a:t>Rate by Individual</a:t>
            </a:r>
            <a:r>
              <a:rPr lang="en-US" baseline="0"/>
              <a:t> categories for 2022 -23</a:t>
            </a:r>
            <a:r>
              <a:rPr lang="en-US"/>
              <a:t>   </a:t>
            </a: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00695992430684E-2"/>
          <c:y val="0.14940306672192291"/>
          <c:w val="0.9280526644963677"/>
          <c:h val="0.79587962962962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3'!$AA$4</c:f>
              <c:strCache>
                <c:ptCount val="1"/>
                <c:pt idx="0">
                  <c:v>Inflation Rate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3'!$X$5:$X$16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scks, sweets etc</c:v>
                </c:pt>
                <c:pt idx="5">
                  <c:v>Non-alcoholic beverages</c:v>
                </c:pt>
                <c:pt idx="6">
                  <c:v>Sugar and Confectionery</c:v>
                </c:pt>
                <c:pt idx="7">
                  <c:v>Fruits</c:v>
                </c:pt>
                <c:pt idx="8">
                  <c:v>Egg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'EDA 3'!$AA$5:$AA$16</c:f>
              <c:numCache>
                <c:formatCode>0.0%</c:formatCode>
                <c:ptCount val="12"/>
                <c:pt idx="0">
                  <c:v>0.16515232495991453</c:v>
                </c:pt>
                <c:pt idx="1">
                  <c:v>0.1206451612903225</c:v>
                </c:pt>
                <c:pt idx="2">
                  <c:v>8.2629674306393175E-2</c:v>
                </c:pt>
                <c:pt idx="3">
                  <c:v>6.8776628119293873E-2</c:v>
                </c:pt>
                <c:pt idx="4">
                  <c:v>5.6008700380641561E-2</c:v>
                </c:pt>
                <c:pt idx="5">
                  <c:v>3.2757593805836809E-2</c:v>
                </c:pt>
                <c:pt idx="6">
                  <c:v>2.3352793994995805E-2</c:v>
                </c:pt>
                <c:pt idx="7">
                  <c:v>1.4731879787860933E-2</c:v>
                </c:pt>
                <c:pt idx="8">
                  <c:v>1.4051522248243426E-2</c:v>
                </c:pt>
                <c:pt idx="9">
                  <c:v>-2.3245214220601614E-2</c:v>
                </c:pt>
                <c:pt idx="10">
                  <c:v>-0.11684037301151953</c:v>
                </c:pt>
                <c:pt idx="11">
                  <c:v>-0.15380786460925835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50B-47C8-962D-2F591F6A6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55060280"/>
        <c:axId val="455063024"/>
      </c:barChart>
      <c:catAx>
        <c:axId val="455060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0.46842781617674573"/>
              <c:y val="0.94111562370493163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40000"/>
              <a:lumOff val="60000"/>
            </a:schemeClr>
          </a:solidFill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63024"/>
        <c:crosses val="autoZero"/>
        <c:auto val="1"/>
        <c:lblAlgn val="ctr"/>
        <c:lblOffset val="100"/>
        <c:noMultiLvlLbl val="0"/>
      </c:catAx>
      <c:valAx>
        <c:axId val="455063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/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60280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 Covid-19 YoY Inflation</a:t>
            </a:r>
          </a:p>
        </c:rich>
      </c:tx>
      <c:layout/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4'!$F$27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4'!$D$28:$E$32</c:f>
              <c:multiLvlStrCache>
                <c:ptCount val="5"/>
                <c:lvl>
                  <c:pt idx="0">
                    <c:v>Vegetables</c:v>
                  </c:pt>
                  <c:pt idx="1">
                    <c:v>Pulses and products</c:v>
                  </c:pt>
                  <c:pt idx="2">
                    <c:v>Meat and fish</c:v>
                  </c:pt>
                  <c:pt idx="3">
                    <c:v>Spices</c:v>
                  </c:pt>
                  <c:pt idx="4">
                    <c:v>Egg</c:v>
                  </c:pt>
                </c:lvl>
                <c:lvl>
                  <c:pt idx="0">
                    <c:v>Food &amp; Beverages</c:v>
                  </c:pt>
                </c:lvl>
              </c:multiLvlStrCache>
            </c:multiLvlStrRef>
          </c:cat>
          <c:val>
            <c:numRef>
              <c:f>'EDA 4'!$F$28:$F$32</c:f>
              <c:numCache>
                <c:formatCode>0.0%</c:formatCode>
                <c:ptCount val="5"/>
                <c:pt idx="0">
                  <c:v>0.28733031674208143</c:v>
                </c:pt>
                <c:pt idx="1">
                  <c:v>0.15845648604269291</c:v>
                </c:pt>
                <c:pt idx="2">
                  <c:v>9.4771241830065356E-2</c:v>
                </c:pt>
                <c:pt idx="3">
                  <c:v>8.9605734767025089E-2</c:v>
                </c:pt>
                <c:pt idx="4">
                  <c:v>8.1967213114754092E-2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35C-481A-9123-D0690EE899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55057928"/>
        <c:axId val="455059888"/>
      </c:barChart>
      <c:catAx>
        <c:axId val="455057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Broader Categories</a:t>
                </a:r>
              </a:p>
            </c:rich>
          </c:tx>
          <c:layout>
            <c:manualLayout>
              <c:xMode val="edge"/>
              <c:yMode val="edge"/>
              <c:x val="8.0053368912608412E-3"/>
              <c:y val="0.28801254328985681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59888"/>
        <c:crosses val="autoZero"/>
        <c:auto val="1"/>
        <c:lblAlgn val="ctr"/>
        <c:lblOffset val="100"/>
        <c:noMultiLvlLbl val="0"/>
      </c:catAx>
      <c:valAx>
        <c:axId val="45505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Inflation Rate</a:t>
                </a:r>
              </a:p>
            </c:rich>
          </c:tx>
          <c:layout>
            <c:manualLayout>
              <c:xMode val="edge"/>
              <c:yMode val="edge"/>
              <c:x val="0.43799341293145555"/>
              <c:y val="0.9203280552731784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57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After Covid-19 YOY Inflation</a:t>
            </a:r>
          </a:p>
        </c:rich>
      </c:tx>
      <c:layout/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4'!$M$27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'EDA 4'!$K$28:$L$32</c:f>
              <c:multiLvlStrCache>
                <c:ptCount val="5"/>
                <c:lvl>
                  <c:pt idx="0">
                    <c:v>Oils and fats</c:v>
                  </c:pt>
                  <c:pt idx="1">
                    <c:v>Egg</c:v>
                  </c:pt>
                  <c:pt idx="2">
                    <c:v>Non-alcoholic beverages</c:v>
                  </c:pt>
                  <c:pt idx="3">
                    <c:v>Pulses and products</c:v>
                  </c:pt>
                  <c:pt idx="4">
                    <c:v>Transport and communication</c:v>
                  </c:pt>
                </c:lvl>
                <c:lvl>
                  <c:pt idx="0">
                    <c:v>Food &amp; Beverages</c:v>
                  </c:pt>
                  <c:pt idx="4">
                    <c:v>Transport &amp; Comm.</c:v>
                  </c:pt>
                </c:lvl>
              </c:multiLvlStrCache>
            </c:multiLvlStrRef>
          </c:cat>
          <c:val>
            <c:numRef>
              <c:f>'EDA 4'!$M$28:$M$32</c:f>
              <c:numCache>
                <c:formatCode>0.0%</c:formatCode>
                <c:ptCount val="5"/>
                <c:pt idx="0">
                  <c:v>0.20960365853658539</c:v>
                </c:pt>
                <c:pt idx="1">
                  <c:v>0.13909520594193109</c:v>
                </c:pt>
                <c:pt idx="2">
                  <c:v>0.13752743233357728</c:v>
                </c:pt>
                <c:pt idx="3">
                  <c:v>0.12544294826364294</c:v>
                </c:pt>
                <c:pt idx="4">
                  <c:v>0.11701308698999222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EB-4129-9C02-092B6A0959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55061064"/>
        <c:axId val="455061848"/>
      </c:barChart>
      <c:catAx>
        <c:axId val="455061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Broader Categories</a:t>
                </a:r>
              </a:p>
            </c:rich>
          </c:tx>
          <c:layout>
            <c:manualLayout>
              <c:xMode val="edge"/>
              <c:yMode val="edge"/>
              <c:x val="8.6021490810009177E-3"/>
              <c:y val="0.38985592226503601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61848"/>
        <c:crosses val="autoZero"/>
        <c:auto val="1"/>
        <c:lblAlgn val="ctr"/>
        <c:lblOffset val="100"/>
        <c:noMultiLvlLbl val="0"/>
      </c:catAx>
      <c:valAx>
        <c:axId val="455061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 Rate</a:t>
                </a:r>
              </a:p>
            </c:rich>
          </c:tx>
          <c:layout>
            <c:manualLayout>
              <c:xMode val="edge"/>
              <c:yMode val="edge"/>
              <c:x val="0.4799685919958358"/>
              <c:y val="0.96014617188808848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6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Pre Covid Inflation Rate Based On Major Categories </a:t>
            </a:r>
          </a:p>
        </c:rich>
      </c:tx>
      <c:layout>
        <c:manualLayout>
          <c:xMode val="edge"/>
          <c:yMode val="edge"/>
          <c:x val="0.17459784657491803"/>
          <c:y val="3.2407407407407406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8467781499068"/>
          <c:y val="0.2293055555555556"/>
          <c:w val="0.85254360531701256"/>
          <c:h val="0.59753098571011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4'!$E$54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4'!$D$55:$D$57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'EDA 4'!$E$55:$E$57</c:f>
              <c:numCache>
                <c:formatCode>0.0%</c:formatCode>
                <c:ptCount val="3"/>
                <c:pt idx="0">
                  <c:v>0.41085366576384846</c:v>
                </c:pt>
                <c:pt idx="1">
                  <c:v>3.7999999999999999E-2</c:v>
                </c:pt>
                <c:pt idx="2">
                  <c:v>9.9432859452323455E-2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50-4CEB-9AD0-47121A1C8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5062240"/>
        <c:axId val="455057144"/>
      </c:barChart>
      <c:catAx>
        <c:axId val="45506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0.4553808557228517"/>
              <c:y val="0.92497666958296876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57144"/>
        <c:crosses val="autoZero"/>
        <c:auto val="1"/>
        <c:lblAlgn val="ctr"/>
        <c:lblOffset val="100"/>
        <c:noMultiLvlLbl val="0"/>
      </c:catAx>
      <c:valAx>
        <c:axId val="455057144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Inflation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Rate</a:t>
                </a:r>
              </a:p>
            </c:rich>
          </c:tx>
          <c:layout>
            <c:manualLayout>
              <c:xMode val="edge"/>
              <c:yMode val="edge"/>
              <c:x val="6.3468318730900159E-3"/>
              <c:y val="0.32897382618839316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6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accent4">
          <a:lumMod val="60000"/>
          <a:lumOff val="40000"/>
        </a:schemeClr>
      </a:solidFill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Post Covid Inflation Rate Based On Major Categories</a:t>
            </a: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4'!$M$62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4'!$L$63:$L$65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'EDA 4'!$M$63:$M$65</c:f>
              <c:numCache>
                <c:formatCode>0.0%</c:formatCode>
                <c:ptCount val="3"/>
                <c:pt idx="0" formatCode="0%">
                  <c:v>0.40503609746279745</c:v>
                </c:pt>
                <c:pt idx="1">
                  <c:v>5.8999999999999997E-2</c:v>
                </c:pt>
                <c:pt idx="2" formatCode="0%">
                  <c:v>0.19961268915019792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8B-417F-9C77-31150A0EF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21849592"/>
        <c:axId val="456473208"/>
      </c:barChart>
      <c:catAx>
        <c:axId val="221849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0.4973740249626315"/>
              <c:y val="0.92607854002883727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73208"/>
        <c:crosses val="autoZero"/>
        <c:auto val="1"/>
        <c:lblAlgn val="ctr"/>
        <c:lblOffset val="100"/>
        <c:noMultiLvlLbl val="0"/>
      </c:catAx>
      <c:valAx>
        <c:axId val="456473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Inflation Rate</a:t>
                </a:r>
              </a:p>
            </c:rich>
          </c:tx>
          <c:layout>
            <c:manualLayout>
              <c:xMode val="edge"/>
              <c:yMode val="edge"/>
              <c:x val="4.2539472527288484E-3"/>
              <c:y val="0.34033290774297048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849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2883441806406359"/>
          <c:w val="1"/>
          <c:h val="0.86316113383949267"/>
        </c:manualLayout>
      </c:layout>
      <c:pie3DChart>
        <c:varyColors val="1"/>
        <c:ser>
          <c:idx val="0"/>
          <c:order val="0"/>
          <c:tx>
            <c:strRef>
              <c:f>'EDA 1'!$B$16:$C$16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3FF-4F80-B786-B6014DB734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3FF-4F80-B786-B6014DB734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3FF-4F80-B786-B6014DB734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3FF-4F80-B786-B6014DB734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3FF-4F80-B786-B6014DB734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3FF-4F80-B786-B6014DB734F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3FF-4F80-B786-B6014DB734F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3FF-4F80-B786-B6014DB734F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3FF-4F80-B786-B6014DB734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'EDA 1'!$D$15:$K$15</c:f>
              <c:strCache>
                <c:ptCount val="8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</c:strCache>
            </c:strRef>
          </c:cat>
          <c:val>
            <c:numRef>
              <c:f>'EDA 1'!$D$16:$K$16</c:f>
              <c:numCache>
                <c:formatCode>0%</c:formatCode>
                <c:ptCount val="8"/>
                <c:pt idx="0">
                  <c:v>4.0077353961056272E-2</c:v>
                </c:pt>
                <c:pt idx="1">
                  <c:v>4.4434071307904319E-2</c:v>
                </c:pt>
                <c:pt idx="2">
                  <c:v>3.7721170089801713E-2</c:v>
                </c:pt>
                <c:pt idx="3">
                  <c:v>0.50918022583800127</c:v>
                </c:pt>
                <c:pt idx="4">
                  <c:v>0.12667822530452563</c:v>
                </c:pt>
                <c:pt idx="5">
                  <c:v>8.0532586467502429E-2</c:v>
                </c:pt>
                <c:pt idx="6">
                  <c:v>8.2844314039299358E-2</c:v>
                </c:pt>
                <c:pt idx="7">
                  <c:v>7.8532052991908935E-2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43FF-4F80-B786-B6014DB734F7}"/>
            </c:ext>
          </c:extLst>
        </c:ser>
        <c:ser>
          <c:idx val="1"/>
          <c:order val="1"/>
          <c:tx>
            <c:strRef>
              <c:f>'EDA 1'!$B$17:$C$17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43FF-4F80-B786-B6014DB734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43FF-4F80-B786-B6014DB734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43FF-4F80-B786-B6014DB734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43FF-4F80-B786-B6014DB734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43FF-4F80-B786-B6014DB734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43FF-4F80-B786-B6014DB734F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43FF-4F80-B786-B6014DB734F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43FF-4F80-B786-B6014DB734F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43FF-4F80-B786-B6014DB734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'EDA 1'!$D$15:$K$15</c:f>
              <c:strCache>
                <c:ptCount val="8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</c:strCache>
            </c:strRef>
          </c:cat>
          <c:val>
            <c:numRef>
              <c:f>'EDA 1'!$D$17:$K$17</c:f>
              <c:numCache>
                <c:formatCode>0%</c:formatCode>
                <c:ptCount val="8"/>
                <c:pt idx="0">
                  <c:v>3.766510806093646E-2</c:v>
                </c:pt>
                <c:pt idx="1">
                  <c:v>4.4000086190178631E-2</c:v>
                </c:pt>
                <c:pt idx="2">
                  <c:v>3.4562261630287236E-2</c:v>
                </c:pt>
                <c:pt idx="3">
                  <c:v>0.50315671529229244</c:v>
                </c:pt>
                <c:pt idx="4">
                  <c:v>0.1139218686030727</c:v>
                </c:pt>
                <c:pt idx="5">
                  <c:v>0.11400805878170184</c:v>
                </c:pt>
                <c:pt idx="6">
                  <c:v>7.9251869249499021E-2</c:v>
                </c:pt>
                <c:pt idx="7">
                  <c:v>7.343403219203172E-2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5-43FF-4F80-B786-B6014DB734F7}"/>
            </c:ext>
          </c:extLst>
        </c:ser>
        <c:ser>
          <c:idx val="2"/>
          <c:order val="2"/>
          <c:tx>
            <c:strRef>
              <c:f>'EDA 1'!$B$18:$C$18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43FF-4F80-B786-B6014DB734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43FF-4F80-B786-B6014DB734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43FF-4F80-B786-B6014DB734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43FF-4F80-B786-B6014DB734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43FF-4F80-B786-B6014DB734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43FF-4F80-B786-B6014DB734F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43FF-4F80-B786-B6014DB734F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3FF-4F80-B786-B6014DB734F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3FF-4F80-B786-B6014DB734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'EDA 1'!$D$15:$K$15</c:f>
              <c:strCache>
                <c:ptCount val="8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</c:strCache>
            </c:strRef>
          </c:cat>
          <c:val>
            <c:numRef>
              <c:f>'EDA 1'!$D$18:$K$18</c:f>
              <c:numCache>
                <c:formatCode>0%</c:formatCode>
                <c:ptCount val="8"/>
                <c:pt idx="0">
                  <c:v>3.8050017188037126E-2</c:v>
                </c:pt>
                <c:pt idx="1">
                  <c:v>4.3184943279477486E-2</c:v>
                </c:pt>
                <c:pt idx="2">
                  <c:v>3.5407356479890004E-2</c:v>
                </c:pt>
                <c:pt idx="3">
                  <c:v>0.49563853557923693</c:v>
                </c:pt>
                <c:pt idx="4">
                  <c:v>0.11885527672739775</c:v>
                </c:pt>
                <c:pt idx="5">
                  <c:v>0.11464420763148847</c:v>
                </c:pt>
                <c:pt idx="6">
                  <c:v>7.9688037126160197E-2</c:v>
                </c:pt>
                <c:pt idx="7">
                  <c:v>7.4531625988312131E-2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8-43FF-4F80-B786-B6014DB734F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63743901413753"/>
          <c:y val="1.2648236717691261E-2"/>
          <c:w val="0.20436254610487312"/>
          <c:h val="0.987351763282308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2">
                  <a:alpha val="96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9940063462216"/>
          <c:y val="2.6423344140805927E-2"/>
          <c:w val="0.89610066759673057"/>
          <c:h val="0.84046725335803618"/>
        </c:manualLayout>
      </c:layout>
      <c:lineChart>
        <c:grouping val="standard"/>
        <c:varyColors val="0"/>
        <c:ser>
          <c:idx val="0"/>
          <c:order val="0"/>
          <c:tx>
            <c:strRef>
              <c:f>'EDA 2'!$F$6</c:f>
              <c:strCache>
                <c:ptCount val="1"/>
                <c:pt idx="0">
                  <c:v>Y-O-Y %</c:v>
                </c:pt>
              </c:strCache>
            </c:strRef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'EDA 2'!$C$7:$C$12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'EDA 2'!$F$7:$F$12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10D-45D7-B0A4-1DFF6228FF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4363384"/>
        <c:axId val="128011392"/>
      </c:lineChart>
      <c:catAx>
        <c:axId val="454363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Years</a:t>
                </a:r>
              </a:p>
            </c:rich>
          </c:tx>
          <c:layout>
            <c:manualLayout>
              <c:xMode val="edge"/>
              <c:yMode val="edge"/>
              <c:x val="0.51754431596951289"/>
              <c:y val="0.9203471380981223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1392"/>
        <c:crosses val="autoZero"/>
        <c:auto val="1"/>
        <c:lblAlgn val="ctr"/>
        <c:lblOffset val="100"/>
        <c:noMultiLvlLbl val="0"/>
      </c:catAx>
      <c:valAx>
        <c:axId val="128011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Inflation Rate</a:t>
                </a:r>
              </a:p>
            </c:rich>
          </c:tx>
          <c:layout>
            <c:manualLayout>
              <c:xMode val="edge"/>
              <c:yMode val="edge"/>
              <c:x val="5.316792202038104E-3"/>
              <c:y val="0.33360345581802275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63384"/>
        <c:crosses val="autoZero"/>
        <c:crossBetween val="between"/>
      </c:valAx>
      <c:spPr>
        <a:solidFill>
          <a:schemeClr val="lt1"/>
        </a:solidFill>
        <a:ln w="12700" cap="flat" cmpd="sng" algn="ctr">
          <a:noFill/>
          <a:prstDash val="solid"/>
          <a:miter lim="800000"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122024857952029E-2"/>
          <c:y val="3.1035796056712018E-2"/>
          <c:w val="0.93356228715212253"/>
          <c:h val="0.93863106497162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3'!$AA$4</c:f>
              <c:strCache>
                <c:ptCount val="1"/>
                <c:pt idx="0">
                  <c:v>Inflation Rate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'EDA 3'!$X$5:$X$16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scks, sweets etc</c:v>
                </c:pt>
                <c:pt idx="5">
                  <c:v>Non-alcoholic beverages</c:v>
                </c:pt>
                <c:pt idx="6">
                  <c:v>Sugar and Confectionery</c:v>
                </c:pt>
                <c:pt idx="7">
                  <c:v>Fruits</c:v>
                </c:pt>
                <c:pt idx="8">
                  <c:v>Egg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'EDA 3'!$AA$5:$AA$16</c:f>
              <c:numCache>
                <c:formatCode>0.0%</c:formatCode>
                <c:ptCount val="12"/>
                <c:pt idx="0">
                  <c:v>0.16515232495991453</c:v>
                </c:pt>
                <c:pt idx="1">
                  <c:v>0.1206451612903225</c:v>
                </c:pt>
                <c:pt idx="2">
                  <c:v>8.2629674306393175E-2</c:v>
                </c:pt>
                <c:pt idx="3">
                  <c:v>6.8776628119293873E-2</c:v>
                </c:pt>
                <c:pt idx="4">
                  <c:v>5.6008700380641561E-2</c:v>
                </c:pt>
                <c:pt idx="5">
                  <c:v>3.2757593805836809E-2</c:v>
                </c:pt>
                <c:pt idx="6">
                  <c:v>2.3352793994995805E-2</c:v>
                </c:pt>
                <c:pt idx="7">
                  <c:v>1.4731879787860933E-2</c:v>
                </c:pt>
                <c:pt idx="8">
                  <c:v>1.4051522248243426E-2</c:v>
                </c:pt>
                <c:pt idx="9">
                  <c:v>-2.3245214220601614E-2</c:v>
                </c:pt>
                <c:pt idx="10">
                  <c:v>-0.11684037301151953</c:v>
                </c:pt>
                <c:pt idx="11">
                  <c:v>-0.15380786460925835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69-4438-A36C-D48BE9220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54898312"/>
        <c:axId val="454906896"/>
      </c:barChart>
      <c:catAx>
        <c:axId val="454898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0.46842781617674573"/>
              <c:y val="0.94111562370493163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40000"/>
              <a:lumOff val="60000"/>
            </a:schemeClr>
          </a:solidFill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06896"/>
        <c:crosses val="autoZero"/>
        <c:auto val="1"/>
        <c:lblAlgn val="ctr"/>
        <c:lblOffset val="100"/>
        <c:noMultiLvlLbl val="0"/>
      </c:catAx>
      <c:valAx>
        <c:axId val="454906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layout/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898312"/>
        <c:crosses val="autoZero"/>
        <c:crossBetween val="between"/>
      </c:valAx>
      <c:spPr>
        <a:solidFill>
          <a:schemeClr val="lt1"/>
        </a:solidFill>
        <a:ln w="12700" cap="flat" cmpd="sng" algn="ctr">
          <a:noFill/>
          <a:prstDash val="solid"/>
          <a:miter lim="800000"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8467781499068"/>
          <c:y val="5.1913016729432319E-2"/>
          <c:w val="0.85254360531701256"/>
          <c:h val="0.82366262171939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4'!$E$54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4'!$D$55:$D$57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'EDA 4'!$E$55:$E$57</c:f>
              <c:numCache>
                <c:formatCode>0.0%</c:formatCode>
                <c:ptCount val="3"/>
                <c:pt idx="0">
                  <c:v>0.41085366576384846</c:v>
                </c:pt>
                <c:pt idx="1">
                  <c:v>3.7999999999999999E-2</c:v>
                </c:pt>
                <c:pt idx="2">
                  <c:v>9.9432859452323455E-2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FD2-4D55-BBB7-06DE8A625A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3828880"/>
        <c:axId val="454916552"/>
      </c:barChart>
      <c:catAx>
        <c:axId val="45382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Categories</a:t>
                </a:r>
              </a:p>
            </c:rich>
          </c:tx>
          <c:layout>
            <c:manualLayout>
              <c:xMode val="edge"/>
              <c:yMode val="edge"/>
              <c:x val="0.37499525281851626"/>
              <c:y val="0.93716132201464475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16552"/>
        <c:crosses val="autoZero"/>
        <c:auto val="1"/>
        <c:lblAlgn val="ctr"/>
        <c:lblOffset val="100"/>
        <c:noMultiLvlLbl val="0"/>
      </c:catAx>
      <c:valAx>
        <c:axId val="454916552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Inflation Rate</a:t>
                </a:r>
              </a:p>
            </c:rich>
          </c:tx>
          <c:layout>
            <c:manualLayout>
              <c:xMode val="edge"/>
              <c:yMode val="edge"/>
              <c:x val="6.3468318730900159E-3"/>
              <c:y val="0.32897382618839316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2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9789308515843"/>
          <c:y val="4.6154304417035212E-2"/>
          <c:w val="0.81571056159475352"/>
          <c:h val="0.823298951592022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4'!$M$62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4'!$L$63:$L$65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'EDA 4'!$M$63:$M$65</c:f>
              <c:numCache>
                <c:formatCode>0.0%</c:formatCode>
                <c:ptCount val="3"/>
                <c:pt idx="0" formatCode="0%">
                  <c:v>0.40503609746279745</c:v>
                </c:pt>
                <c:pt idx="1">
                  <c:v>5.8999999999999997E-2</c:v>
                </c:pt>
                <c:pt idx="2" formatCode="0%">
                  <c:v>0.19961268915019792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65-4772-8B2C-DB74BA2EAF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5064200"/>
        <c:axId val="455063808"/>
      </c:barChart>
      <c:catAx>
        <c:axId val="455064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0.42412118337566479"/>
              <c:y val="0.93439262923773914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63808"/>
        <c:crosses val="autoZero"/>
        <c:auto val="1"/>
        <c:lblAlgn val="ctr"/>
        <c:lblOffset val="100"/>
        <c:noMultiLvlLbl val="0"/>
      </c:catAx>
      <c:valAx>
        <c:axId val="455063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Inflation Rate</a:t>
                </a:r>
              </a:p>
            </c:rich>
          </c:tx>
          <c:layout>
            <c:manualLayout>
              <c:xMode val="edge"/>
              <c:yMode val="edge"/>
              <c:x val="4.2539472527288484E-3"/>
              <c:y val="0.34033290774297048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06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plotSurface>
          <cx:spPr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cx:spPr>
        </cx:plotSurface>
        <cx:series layoutId="waterfall" uniqueId="{4ED6D979-CAFF-415B-8C23-0EBE99E53A62}">
          <cx:tx>
            <cx:txData>
              <cx:f>_xlchart.v1.1</cx:f>
              <cx:v>MOM Inflatio Rate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n-U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Months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Inflation Rate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Inflation Rate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ln>
                  <a:noFill/>
                </a:ln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ln>
                <a:noFill/>
              </a:ln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  <cx:legend pos="t" align="ctr" overlay="0">
      <cx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700" b="1"/>
          </a:pPr>
          <a:endParaRPr lang="en-US" sz="7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  <a:effectLst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1" i="0" cap="all" baseline="0">
                <a:effectLst/>
              </a:rPr>
              <a:t>Month-On-Month Inflation Rate(Rural+urban)</a:t>
            </a:r>
            <a:endParaRPr lang="en-US" sz="1400">
              <a:effectLst/>
            </a:endParaRPr>
          </a:p>
        </cx:rich>
      </cx:tx>
      <cx:spPr>
        <a:solidFill>
          <a:schemeClr val="accent1">
            <a:lumMod val="60000"/>
            <a:lumOff val="40000"/>
          </a:schemeClr>
        </a:solidFill>
      </cx:spPr>
    </cx:title>
    <cx:plotArea>
      <cx:plotAreaRegion>
        <cx:plotSurface>
          <cx:spPr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cx:spPr>
        </cx:plotSurface>
        <cx:series layoutId="waterfall" uniqueId="{4851BED7-3618-4235-9EB2-C6164BAC3997}">
          <cx:tx>
            <cx:txData>
              <cx:f>_xlchart.v1.4</cx:f>
              <cx:v>MOM Inflatio Rate</cx:v>
            </cx:txData>
          </cx:tx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Months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Inflation Rate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Inflation Rate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  <cx:legend pos="t" align="ctr" overlay="0">
      <cx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700" b="1"/>
          </a:pPr>
          <a:endParaRPr lang="en-US" sz="7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solidFill>
      <a:schemeClr val="accent4">
        <a:lumMod val="20000"/>
        <a:lumOff val="80000"/>
      </a:schemeClr>
    </a:solidFill>
    <a:ln>
      <a:solidFill>
        <a:schemeClr val="accent2">
          <a:lumMod val="75000"/>
        </a:schemeClr>
      </a:solidFill>
    </a:ln>
    <a:effectLst>
      <a:glow rad="63500">
        <a:schemeClr val="accent2">
          <a:satMod val="175000"/>
          <a:alpha val="40000"/>
        </a:schemeClr>
      </a:glo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3" Type="http://schemas.microsoft.com/office/2014/relationships/chartEx" Target="../charts/chartEx1.xml"/><Relationship Id="rId7" Type="http://schemas.openxmlformats.org/officeDocument/2006/relationships/image" Target="../media/image1.emf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551616</xdr:colOff>
      <xdr:row>19</xdr:row>
      <xdr:rowOff>6227</xdr:rowOff>
    </xdr:from>
    <xdr:to>
      <xdr:col>10</xdr:col>
      <xdr:colOff>2257778</xdr:colOff>
      <xdr:row>38</xdr:row>
      <xdr:rowOff>96654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BA874D57-8518-33FC-480D-C85B5ABC6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577851</xdr:colOff>
      <xdr:row>13</xdr:row>
      <xdr:rowOff>146050</xdr:rowOff>
    </xdr:from>
    <xdr:to>
      <xdr:col>10</xdr:col>
      <xdr:colOff>57151</xdr:colOff>
      <xdr:row>28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3B8B822-3C8D-8394-C9FA-E65D252F4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101600</xdr:colOff>
      <xdr:row>20</xdr:row>
      <xdr:rowOff>114300</xdr:rowOff>
    </xdr:from>
    <xdr:to>
      <xdr:col>24</xdr:col>
      <xdr:colOff>577850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2D36B675-1575-038B-7177-519E69BA5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1136650</xdr:colOff>
      <xdr:row>20</xdr:row>
      <xdr:rowOff>152400</xdr:rowOff>
    </xdr:from>
    <xdr:to>
      <xdr:col>12</xdr:col>
      <xdr:colOff>628650</xdr:colOff>
      <xdr:row>41</xdr:row>
      <xdr:rowOff>6350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8CF0A1D-9020-73A1-75BF-334F468781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3" name="Rectangle 2"/>
            <xdr:cNvSpPr>
              <a:spLocks noTextEdit="1"/>
            </xdr:cNvSpPr>
          </xdr:nvSpPr>
          <xdr:spPr>
            <a:xfrm>
              <a:off x="1733550" y="3943350"/>
              <a:ext cx="8258175" cy="3657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33</xdr:row>
      <xdr:rowOff>6350</xdr:rowOff>
    </xdr:from>
    <xdr:to>
      <xdr:col>6</xdr:col>
      <xdr:colOff>387350</xdr:colOff>
      <xdr:row>49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="" xmlns:a16="http://schemas.microsoft.com/office/drawing/2014/main" id="{9EA2FAE4-308C-82D7-50DF-62F6B4DA1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32</xdr:row>
      <xdr:rowOff>177800</xdr:rowOff>
    </xdr:from>
    <xdr:to>
      <xdr:col>15</xdr:col>
      <xdr:colOff>381001</xdr:colOff>
      <xdr:row>58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89C27A76-DF70-C726-3012-5909B95C2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275807</xdr:colOff>
      <xdr:row>66</xdr:row>
      <xdr:rowOff>25656</xdr:rowOff>
    </xdr:from>
    <xdr:to>
      <xdr:col>7</xdr:col>
      <xdr:colOff>640771</xdr:colOff>
      <xdr:row>82</xdr:row>
      <xdr:rowOff>38485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F64FEA44-5493-0F90-C83A-719FD32FF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680538</xdr:colOff>
      <xdr:row>66</xdr:row>
      <xdr:rowOff>19242</xdr:rowOff>
    </xdr:from>
    <xdr:to>
      <xdr:col>14</xdr:col>
      <xdr:colOff>519544</xdr:colOff>
      <xdr:row>82</xdr:row>
      <xdr:rowOff>51314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D3207D30-5993-70CE-402E-542B84D4C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280402</xdr:colOff>
      <xdr:row>0</xdr:row>
      <xdr:rowOff>8835</xdr:rowOff>
    </xdr:from>
    <xdr:to>
      <xdr:col>25</xdr:col>
      <xdr:colOff>59310</xdr:colOff>
      <xdr:row>3</xdr:row>
      <xdr:rowOff>13369</xdr:rowOff>
    </xdr:to>
    <xdr:sp macro="" textlink="">
      <xdr:nvSpPr>
        <xdr:cNvPr id="2" name="Rectangle: Rounded Corners 1">
          <a:extLst>
            <a:ext uri="{FF2B5EF4-FFF2-40B4-BE49-F238E27FC236}">
              <a16:creationId xmlns="" xmlns:a16="http://schemas.microsoft.com/office/drawing/2014/main" id="{8C98D62D-EE8D-464F-DC37-6CE2C327FEC2}"/>
            </a:ext>
          </a:extLst>
        </xdr:cNvPr>
        <xdr:cNvSpPr/>
      </xdr:nvSpPr>
      <xdr:spPr>
        <a:xfrm>
          <a:off x="3321718" y="8835"/>
          <a:ext cx="11944171" cy="566008"/>
        </a:xfrm>
        <a:prstGeom prst="roundRect">
          <a:avLst>
            <a:gd name="adj" fmla="val 3153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INDIA</a:t>
          </a:r>
          <a:r>
            <a:rPr lang="en-US" sz="2400" b="1" baseline="0">
              <a:solidFill>
                <a:schemeClr val="accent1">
                  <a:lumMod val="50000"/>
                </a:schemeClr>
              </a:solidFill>
            </a:rPr>
            <a:t> CPI INFLATION DASHBOARD</a:t>
          </a:r>
          <a:endParaRPr lang="en-US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65070</xdr:colOff>
      <xdr:row>4</xdr:row>
      <xdr:rowOff>12700</xdr:rowOff>
    </xdr:from>
    <xdr:to>
      <xdr:col>10</xdr:col>
      <xdr:colOff>413820</xdr:colOff>
      <xdr:row>17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="" xmlns:a16="http://schemas.microsoft.com/office/drawing/2014/main" id="{359F15DB-C84E-4BF7-A07E-F2B50B6FC9E8}"/>
            </a:ext>
          </a:extLst>
        </xdr:cNvPr>
        <xdr:cNvSpPr/>
      </xdr:nvSpPr>
      <xdr:spPr>
        <a:xfrm>
          <a:off x="65070" y="754722"/>
          <a:ext cx="6413357" cy="2494124"/>
        </a:xfrm>
        <a:prstGeom prst="roundRect">
          <a:avLst>
            <a:gd name="adj" fmla="val 5385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Contribution Of Broader Categories Based On Month</a:t>
          </a:r>
          <a:endParaRPr lang="en-US" sz="24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88900</xdr:colOff>
      <xdr:row>6</xdr:row>
      <xdr:rowOff>12702</xdr:rowOff>
    </xdr:from>
    <xdr:to>
      <xdr:col>10</xdr:col>
      <xdr:colOff>385281</xdr:colOff>
      <xdr:row>17</xdr:row>
      <xdr:rowOff>64214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2A013237-B9FE-4599-9A10-AD04E30A5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553520</xdr:colOff>
      <xdr:row>4</xdr:row>
      <xdr:rowOff>6349</xdr:rowOff>
    </xdr:from>
    <xdr:to>
      <xdr:col>23</xdr:col>
      <xdr:colOff>342472</xdr:colOff>
      <xdr:row>17</xdr:row>
      <xdr:rowOff>100262</xdr:rowOff>
    </xdr:to>
    <xdr:sp macro="" textlink="">
      <xdr:nvSpPr>
        <xdr:cNvPr id="5" name="Rectangle: Rounded Corners 4">
          <a:extLst>
            <a:ext uri="{FF2B5EF4-FFF2-40B4-BE49-F238E27FC236}">
              <a16:creationId xmlns="" xmlns:a16="http://schemas.microsoft.com/office/drawing/2014/main" id="{D4A5CDAB-740C-47CA-9A3B-F66C7BECFD29}"/>
            </a:ext>
          </a:extLst>
        </xdr:cNvPr>
        <xdr:cNvSpPr/>
      </xdr:nvSpPr>
      <xdr:spPr>
        <a:xfrm>
          <a:off x="6636152" y="754981"/>
          <a:ext cx="7696373" cy="2526965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Y-O-Y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</a:rPr>
            <a:t> Trend In CPI(Rural+Urban) From 2017-2022</a:t>
          </a:r>
          <a:endParaRPr lang="en-U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28539</xdr:colOff>
      <xdr:row>5</xdr:row>
      <xdr:rowOff>177800</xdr:rowOff>
    </xdr:from>
    <xdr:to>
      <xdr:col>23</xdr:col>
      <xdr:colOff>113631</xdr:colOff>
      <xdr:row>17</xdr:row>
      <xdr:rowOff>7134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24E5EFB3-5B9B-4102-BFB0-55A44C0A8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18</xdr:row>
      <xdr:rowOff>133350</xdr:rowOff>
    </xdr:from>
    <xdr:to>
      <xdr:col>11</xdr:col>
      <xdr:colOff>107950</xdr:colOff>
      <xdr:row>33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="" xmlns:a16="http://schemas.microsoft.com/office/drawing/2014/main" id="{3A2344B5-1450-4119-8752-44A392C21F5F}"/>
            </a:ext>
          </a:extLst>
        </xdr:cNvPr>
        <xdr:cNvSpPr/>
      </xdr:nvSpPr>
      <xdr:spPr>
        <a:xfrm>
          <a:off x="38100" y="3448050"/>
          <a:ext cx="6775450" cy="2667000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400" b="1" i="0" cap="all" baseline="0">
              <a:solidFill>
                <a:schemeClr val="accent1">
                  <a:lumMod val="50000"/>
                </a:schemeClr>
              </a:solidFill>
              <a:effectLst/>
            </a:rPr>
            <a:t>M-O-M Inflation of broader categories for 2022-23 </a:t>
          </a:r>
          <a:r>
            <a:rPr lang="en-US" sz="1400" b="1" i="0" cap="all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(Rural+urban) </a:t>
          </a:r>
          <a:endParaRPr lang="en-US" sz="28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25400</xdr:colOff>
      <xdr:row>20</xdr:row>
      <xdr:rowOff>114300</xdr:rowOff>
    </xdr:from>
    <xdr:to>
      <xdr:col>11</xdr:col>
      <xdr:colOff>133350</xdr:colOff>
      <xdr:row>33</xdr:row>
      <xdr:rowOff>82550</xdr:rowOff>
    </xdr:to>
    <mc:AlternateContent xmlns:mc="http://schemas.openxmlformats.org/markup-compatibility/2006">
      <mc:Choice xmlns=""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0B9A23D3-DD53-4F7D-AD2C-0FFA2ED462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8" name="Rectangle 7"/>
            <xdr:cNvSpPr>
              <a:spLocks noTextEdit="1"/>
            </xdr:cNvSpPr>
          </xdr:nvSpPr>
          <xdr:spPr>
            <a:xfrm>
              <a:off x="28575" y="3733800"/>
              <a:ext cx="6810375" cy="2324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590885</xdr:colOff>
      <xdr:row>18</xdr:row>
      <xdr:rowOff>127334</xdr:rowOff>
    </xdr:from>
    <xdr:to>
      <xdr:col>28</xdr:col>
      <xdr:colOff>578185</xdr:colOff>
      <xdr:row>33</xdr:row>
      <xdr:rowOff>32084</xdr:rowOff>
    </xdr:to>
    <xdr:sp macro="" textlink="">
      <xdr:nvSpPr>
        <xdr:cNvPr id="9" name="Rectangle: Rounded Corners 8">
          <a:extLst>
            <a:ext uri="{FF2B5EF4-FFF2-40B4-BE49-F238E27FC236}">
              <a16:creationId xmlns="" xmlns:a16="http://schemas.microsoft.com/office/drawing/2014/main" id="{CCEBED2A-22B7-4967-9A34-7CF655FCAC41}"/>
            </a:ext>
          </a:extLst>
        </xdr:cNvPr>
        <xdr:cNvSpPr/>
      </xdr:nvSpPr>
      <xdr:spPr>
        <a:xfrm>
          <a:off x="7890043" y="3496176"/>
          <a:ext cx="9719510" cy="2712119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cap="all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Inflation Rate by Individual categories for 2022 -23 (Rural+urban)   </a:t>
          </a:r>
          <a:endParaRPr lang="en-US" sz="2400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46790</xdr:colOff>
      <xdr:row>20</xdr:row>
      <xdr:rowOff>158751</xdr:rowOff>
    </xdr:from>
    <xdr:to>
      <xdr:col>28</xdr:col>
      <xdr:colOff>541420</xdr:colOff>
      <xdr:row>33</xdr:row>
      <xdr:rowOff>13368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B08F2FC9-C4E4-4F6D-BA7D-4734AD19C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53474</xdr:colOff>
      <xdr:row>33</xdr:row>
      <xdr:rowOff>186069</xdr:rowOff>
    </xdr:from>
    <xdr:to>
      <xdr:col>15</xdr:col>
      <xdr:colOff>139092</xdr:colOff>
      <xdr:row>52</xdr:row>
      <xdr:rowOff>128991</xdr:rowOff>
    </xdr:to>
    <xdr:sp macro="" textlink="">
      <xdr:nvSpPr>
        <xdr:cNvPr id="11" name="Rectangle: Rounded Corners 10">
          <a:extLst>
            <a:ext uri="{FF2B5EF4-FFF2-40B4-BE49-F238E27FC236}">
              <a16:creationId xmlns="" xmlns:a16="http://schemas.microsoft.com/office/drawing/2014/main" id="{CF2FCFAA-B4F8-405E-BCF2-8F125362990D}"/>
            </a:ext>
          </a:extLst>
        </xdr:cNvPr>
        <xdr:cNvSpPr/>
      </xdr:nvSpPr>
      <xdr:spPr>
        <a:xfrm>
          <a:off x="53474" y="6362280"/>
          <a:ext cx="9209565" cy="3498922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cap="all" baseline="0">
              <a:solidFill>
                <a:schemeClr val="accent1">
                  <a:lumMod val="50000"/>
                </a:schemeClr>
              </a:solidFill>
              <a:effectLst/>
            </a:rPr>
            <a:t>pre AND POST Covid inflation based on major categories</a:t>
          </a:r>
          <a:endParaRPr lang="en-US" sz="32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133684</xdr:colOff>
      <xdr:row>35</xdr:row>
      <xdr:rowOff>164402</xdr:rowOff>
    </xdr:from>
    <xdr:to>
      <xdr:col>7</xdr:col>
      <xdr:colOff>342372</xdr:colOff>
      <xdr:row>52</xdr:row>
      <xdr:rowOff>113630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00186D15-4A06-43E4-9BF0-B9CF4E0AEB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474579</xdr:colOff>
      <xdr:row>35</xdr:row>
      <xdr:rowOff>132146</xdr:rowOff>
    </xdr:from>
    <xdr:to>
      <xdr:col>15</xdr:col>
      <xdr:colOff>86895</xdr:colOff>
      <xdr:row>52</xdr:row>
      <xdr:rowOff>73526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6FDA8FDC-30D8-4126-98A3-97C91372B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15817</xdr:colOff>
      <xdr:row>33</xdr:row>
      <xdr:rowOff>180754</xdr:rowOff>
    </xdr:from>
    <xdr:to>
      <xdr:col>24</xdr:col>
      <xdr:colOff>480886</xdr:colOff>
      <xdr:row>60</xdr:row>
      <xdr:rowOff>153925</xdr:rowOff>
    </xdr:to>
    <xdr:sp macro="" textlink="">
      <xdr:nvSpPr>
        <xdr:cNvPr id="14" name="Rectangle: Rounded Corners 13">
          <a:extLst>
            <a:ext uri="{FF2B5EF4-FFF2-40B4-BE49-F238E27FC236}">
              <a16:creationId xmlns="" xmlns:a16="http://schemas.microsoft.com/office/drawing/2014/main" id="{4416F1D7-F5B4-4026-A255-BFCC6208B8E5}"/>
            </a:ext>
          </a:extLst>
        </xdr:cNvPr>
        <xdr:cNvSpPr/>
      </xdr:nvSpPr>
      <xdr:spPr>
        <a:xfrm>
          <a:off x="9748028" y="6356965"/>
          <a:ext cx="5331174" cy="5026434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cap="all" baseline="0">
              <a:solidFill>
                <a:schemeClr val="accent1">
                  <a:lumMod val="50000"/>
                </a:schemeClr>
              </a:solidFill>
              <a:effectLst/>
            </a:rPr>
            <a:t>pre AND POST Covid inflation based on major categories</a:t>
          </a:r>
          <a:endParaRPr lang="en-US" sz="32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16</xdr:col>
      <xdr:colOff>98664</xdr:colOff>
      <xdr:row>37</xdr:row>
      <xdr:rowOff>76351</xdr:rowOff>
    </xdr:from>
    <xdr:to>
      <xdr:col>24</xdr:col>
      <xdr:colOff>416075</xdr:colOff>
      <xdr:row>60</xdr:row>
      <xdr:rowOff>31632</xdr:rowOff>
    </xdr:to>
    <xdr:pic>
      <xdr:nvPicPr>
        <xdr:cNvPr id="15" name="Picture 14">
          <a:extLst>
            <a:ext uri="{FF2B5EF4-FFF2-40B4-BE49-F238E27FC236}">
              <a16:creationId xmlns="" xmlns:a16="http://schemas.microsoft.com/office/drawing/2014/main" id="{52939834-D955-FE83-0BF6-C06F9AD5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0875" y="7001193"/>
          <a:ext cx="5183516" cy="42599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427791</xdr:colOff>
      <xdr:row>0</xdr:row>
      <xdr:rowOff>20053</xdr:rowOff>
    </xdr:from>
    <xdr:to>
      <xdr:col>7</xdr:col>
      <xdr:colOff>267368</xdr:colOff>
      <xdr:row>3</xdr:row>
      <xdr:rowOff>20052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E0AEADA1-F28C-9414-3298-6A5ED66C2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9107" y="20053"/>
          <a:ext cx="1056103" cy="561473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22</xdr:col>
      <xdr:colOff>568158</xdr:colOff>
      <xdr:row>3</xdr:row>
      <xdr:rowOff>167104</xdr:rowOff>
    </xdr:from>
    <xdr:to>
      <xdr:col>27</xdr:col>
      <xdr:colOff>280737</xdr:colOff>
      <xdr:row>11</xdr:row>
      <xdr:rowOff>20051</xdr:rowOff>
    </xdr:to>
    <xdr:sp macro="" textlink="">
      <xdr:nvSpPr>
        <xdr:cNvPr id="21" name="Ribbon: Tilted Up 20">
          <a:extLst>
            <a:ext uri="{FF2B5EF4-FFF2-40B4-BE49-F238E27FC236}">
              <a16:creationId xmlns="" xmlns:a16="http://schemas.microsoft.com/office/drawing/2014/main" id="{76F81515-EB8F-09DD-75AC-082587925B12}"/>
            </a:ext>
          </a:extLst>
        </xdr:cNvPr>
        <xdr:cNvSpPr/>
      </xdr:nvSpPr>
      <xdr:spPr>
        <a:xfrm>
          <a:off x="13949947" y="728578"/>
          <a:ext cx="2753895" cy="1350210"/>
        </a:xfrm>
        <a:prstGeom prst="ribbon2">
          <a:avLst>
            <a:gd name="adj1" fmla="val 21667"/>
            <a:gd name="adj2" fmla="val 60421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Among the years,</a:t>
          </a:r>
          <a:r>
            <a:rPr lang="en-US" sz="1100" b="1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2019 has the hieghest inflation due to 11% incement in Food &amp; Beverages category</a:t>
          </a:r>
          <a:endParaRPr lang="en-US">
            <a:solidFill>
              <a:schemeClr val="accent2">
                <a:lumMod val="50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153736</xdr:colOff>
      <xdr:row>29</xdr:row>
      <xdr:rowOff>133684</xdr:rowOff>
    </xdr:from>
    <xdr:to>
      <xdr:col>6</xdr:col>
      <xdr:colOff>299451</xdr:colOff>
      <xdr:row>30</xdr:row>
      <xdr:rowOff>167105</xdr:rowOff>
    </xdr:to>
    <xdr:sp macro="" textlink="">
      <xdr:nvSpPr>
        <xdr:cNvPr id="22" name="Star: 6 Points 21">
          <a:extLst>
            <a:ext uri="{FF2B5EF4-FFF2-40B4-BE49-F238E27FC236}">
              <a16:creationId xmlns="" xmlns:a16="http://schemas.microsoft.com/office/drawing/2014/main" id="{41935626-12E2-7CFA-B0CF-AC541D780E69}"/>
            </a:ext>
          </a:extLst>
        </xdr:cNvPr>
        <xdr:cNvSpPr/>
      </xdr:nvSpPr>
      <xdr:spPr>
        <a:xfrm>
          <a:off x="3803315" y="5561263"/>
          <a:ext cx="145715" cy="220579"/>
        </a:xfrm>
        <a:prstGeom prst="star6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6685</xdr:colOff>
      <xdr:row>29</xdr:row>
      <xdr:rowOff>133684</xdr:rowOff>
    </xdr:from>
    <xdr:to>
      <xdr:col>8</xdr:col>
      <xdr:colOff>152400</xdr:colOff>
      <xdr:row>30</xdr:row>
      <xdr:rowOff>167105</xdr:rowOff>
    </xdr:to>
    <xdr:sp macro="" textlink="">
      <xdr:nvSpPr>
        <xdr:cNvPr id="24" name="Star: 6 Points 23">
          <a:extLst>
            <a:ext uri="{FF2B5EF4-FFF2-40B4-BE49-F238E27FC236}">
              <a16:creationId xmlns="" xmlns:a16="http://schemas.microsoft.com/office/drawing/2014/main" id="{D4E2C896-2DC7-4E5F-95DB-BD44E6CD4835}"/>
            </a:ext>
          </a:extLst>
        </xdr:cNvPr>
        <xdr:cNvSpPr/>
      </xdr:nvSpPr>
      <xdr:spPr>
        <a:xfrm>
          <a:off x="4872790" y="5561263"/>
          <a:ext cx="145715" cy="220579"/>
        </a:xfrm>
        <a:prstGeom prst="star6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320840</xdr:colOff>
      <xdr:row>29</xdr:row>
      <xdr:rowOff>126999</xdr:rowOff>
    </xdr:from>
    <xdr:to>
      <xdr:col>4</xdr:col>
      <xdr:colOff>608261</xdr:colOff>
      <xdr:row>30</xdr:row>
      <xdr:rowOff>173789</xdr:rowOff>
    </xdr:to>
    <xdr:sp macro="" textlink="">
      <xdr:nvSpPr>
        <xdr:cNvPr id="25" name="Star: 4 Points 24">
          <a:extLst>
            <a:ext uri="{FF2B5EF4-FFF2-40B4-BE49-F238E27FC236}">
              <a16:creationId xmlns="" xmlns:a16="http://schemas.microsoft.com/office/drawing/2014/main" id="{C796FB73-4048-84F8-9A08-D87FC9678EDE}"/>
            </a:ext>
          </a:extLst>
        </xdr:cNvPr>
        <xdr:cNvSpPr/>
      </xdr:nvSpPr>
      <xdr:spPr>
        <a:xfrm>
          <a:off x="2753893" y="5554578"/>
          <a:ext cx="287421" cy="233948"/>
        </a:xfrm>
        <a:prstGeom prst="star4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279399</xdr:colOff>
      <xdr:row>29</xdr:row>
      <xdr:rowOff>100931</xdr:rowOff>
    </xdr:from>
    <xdr:to>
      <xdr:col>10</xdr:col>
      <xdr:colOff>566820</xdr:colOff>
      <xdr:row>30</xdr:row>
      <xdr:rowOff>147721</xdr:rowOff>
    </xdr:to>
    <xdr:sp macro="" textlink="">
      <xdr:nvSpPr>
        <xdr:cNvPr id="26" name="Star: 4 Points 25">
          <a:extLst>
            <a:ext uri="{FF2B5EF4-FFF2-40B4-BE49-F238E27FC236}">
              <a16:creationId xmlns="" xmlns:a16="http://schemas.microsoft.com/office/drawing/2014/main" id="{956702BB-5F5A-451A-A474-4E82ED560B95}"/>
            </a:ext>
          </a:extLst>
        </xdr:cNvPr>
        <xdr:cNvSpPr/>
      </xdr:nvSpPr>
      <xdr:spPr>
        <a:xfrm>
          <a:off x="6362031" y="5528510"/>
          <a:ext cx="287421" cy="233948"/>
        </a:xfrm>
        <a:prstGeom prst="star4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73527</xdr:colOff>
      <xdr:row>13</xdr:row>
      <xdr:rowOff>113630</xdr:rowOff>
    </xdr:from>
    <xdr:to>
      <xdr:col>28</xdr:col>
      <xdr:colOff>427790</xdr:colOff>
      <xdr:row>19</xdr:row>
      <xdr:rowOff>33420</xdr:rowOff>
    </xdr:to>
    <xdr:sp macro="" textlink="">
      <xdr:nvSpPr>
        <xdr:cNvPr id="27" name="Scroll: Horizontal 26">
          <a:extLst>
            <a:ext uri="{FF2B5EF4-FFF2-40B4-BE49-F238E27FC236}">
              <a16:creationId xmlns="" xmlns:a16="http://schemas.microsoft.com/office/drawing/2014/main" id="{EC54EA24-1C97-E020-6BA3-E40B4FDF0088}"/>
            </a:ext>
          </a:extLst>
        </xdr:cNvPr>
        <xdr:cNvSpPr/>
      </xdr:nvSpPr>
      <xdr:spPr>
        <a:xfrm>
          <a:off x="15888369" y="2546683"/>
          <a:ext cx="1570789" cy="1042737"/>
        </a:xfrm>
        <a:prstGeom prst="horizontalScroll">
          <a:avLst>
            <a:gd name="adj" fmla="val 11061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accent2">
                  <a:lumMod val="50000"/>
                </a:schemeClr>
              </a:solidFill>
            </a:rPr>
            <a:t>Hieghest</a:t>
          </a:r>
          <a:r>
            <a:rPr lang="en-US" sz="1100" b="1" baseline="0">
              <a:solidFill>
                <a:schemeClr val="accent2">
                  <a:lumMod val="50000"/>
                </a:schemeClr>
              </a:solidFill>
            </a:rPr>
            <a:t> inflation with 16.5% in Spices &amp; lowest with -15.4% Oild and fats </a:t>
          </a:r>
          <a:endParaRPr lang="en-US" sz="11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421106</xdr:colOff>
      <xdr:row>18</xdr:row>
      <xdr:rowOff>86895</xdr:rowOff>
    </xdr:from>
    <xdr:to>
      <xdr:col>12</xdr:col>
      <xdr:colOff>447842</xdr:colOff>
      <xdr:row>25</xdr:row>
      <xdr:rowOff>20053</xdr:rowOff>
    </xdr:to>
    <xdr:sp macro="" textlink="">
      <xdr:nvSpPr>
        <xdr:cNvPr id="28" name="Star: 6 Points 27">
          <a:extLst>
            <a:ext uri="{FF2B5EF4-FFF2-40B4-BE49-F238E27FC236}">
              <a16:creationId xmlns="" xmlns:a16="http://schemas.microsoft.com/office/drawing/2014/main" id="{F5D72EDA-BD25-46F0-8BFB-D2241DD28272}"/>
            </a:ext>
          </a:extLst>
        </xdr:cNvPr>
        <xdr:cNvSpPr/>
      </xdr:nvSpPr>
      <xdr:spPr>
        <a:xfrm>
          <a:off x="6503738" y="3455737"/>
          <a:ext cx="1243262" cy="1243263"/>
        </a:xfrm>
        <a:prstGeom prst="star6">
          <a:avLst>
            <a:gd name="adj" fmla="val 31194"/>
            <a:gd name="hf" fmla="val 115470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Lowest inflation month Dec-22</a:t>
          </a:r>
          <a:r>
            <a:rPr lang="en-US" sz="900" b="1" baseline="0">
              <a:solidFill>
                <a:schemeClr val="tx1"/>
              </a:solidFill>
            </a:rPr>
            <a:t> &amp; Feb-23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360947</xdr:colOff>
      <xdr:row>24</xdr:row>
      <xdr:rowOff>120317</xdr:rowOff>
    </xdr:from>
    <xdr:to>
      <xdr:col>12</xdr:col>
      <xdr:colOff>574842</xdr:colOff>
      <xdr:row>33</xdr:row>
      <xdr:rowOff>6685</xdr:rowOff>
    </xdr:to>
    <xdr:sp macro="" textlink="">
      <xdr:nvSpPr>
        <xdr:cNvPr id="29" name="Star: 4 Points 28">
          <a:extLst>
            <a:ext uri="{FF2B5EF4-FFF2-40B4-BE49-F238E27FC236}">
              <a16:creationId xmlns="" xmlns:a16="http://schemas.microsoft.com/office/drawing/2014/main" id="{433BFD89-21A9-431D-9772-EFCD63237AFD}"/>
            </a:ext>
          </a:extLst>
        </xdr:cNvPr>
        <xdr:cNvSpPr/>
      </xdr:nvSpPr>
      <xdr:spPr>
        <a:xfrm>
          <a:off x="6443579" y="4612106"/>
          <a:ext cx="1430421" cy="1570790"/>
        </a:xfrm>
        <a:prstGeom prst="star4">
          <a:avLst>
            <a:gd name="adj" fmla="val 28245"/>
          </a:avLst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1">
              <a:solidFill>
                <a:schemeClr val="tx1"/>
              </a:solidFill>
            </a:rPr>
            <a:t>Hieghest  month Oct-22 &amp; May-23</a:t>
          </a:r>
        </a:p>
      </xdr:txBody>
    </xdr:sp>
    <xdr:clientData/>
  </xdr:twoCellAnchor>
  <xdr:twoCellAnchor>
    <xdr:from>
      <xdr:col>24</xdr:col>
      <xdr:colOff>568158</xdr:colOff>
      <xdr:row>34</xdr:row>
      <xdr:rowOff>106949</xdr:rowOff>
    </xdr:from>
    <xdr:to>
      <xdr:col>28</xdr:col>
      <xdr:colOff>521369</xdr:colOff>
      <xdr:row>46</xdr:row>
      <xdr:rowOff>153737</xdr:rowOff>
    </xdr:to>
    <xdr:sp macro="" textlink="">
      <xdr:nvSpPr>
        <xdr:cNvPr id="30" name="Thought Bubble: Cloud 29">
          <a:extLst>
            <a:ext uri="{FF2B5EF4-FFF2-40B4-BE49-F238E27FC236}">
              <a16:creationId xmlns="" xmlns:a16="http://schemas.microsoft.com/office/drawing/2014/main" id="{9EEF018F-E4BE-F1E2-EC80-D373F9D52C31}"/>
            </a:ext>
          </a:extLst>
        </xdr:cNvPr>
        <xdr:cNvSpPr/>
      </xdr:nvSpPr>
      <xdr:spPr>
        <a:xfrm>
          <a:off x="15166474" y="6470317"/>
          <a:ext cx="2386263" cy="2292683"/>
        </a:xfrm>
        <a:prstGeom prst="cloudCallout">
          <a:avLst>
            <a:gd name="adj1" fmla="val -51153"/>
            <a:gd name="adj2" fmla="val 6592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accent2">
                  <a:lumMod val="50000"/>
                </a:schemeClr>
              </a:solidFill>
            </a:rPr>
            <a:t>Positive</a:t>
          </a:r>
          <a:r>
            <a:rPr lang="en-US" sz="1050" b="1" baseline="0">
              <a:solidFill>
                <a:schemeClr val="accent2">
                  <a:lumMod val="50000"/>
                </a:schemeClr>
              </a:solidFill>
            </a:rPr>
            <a:t> % values indicates if Crude oil price Increases Category price also increases.</a:t>
          </a:r>
        </a:p>
        <a:p>
          <a:pPr algn="ctr"/>
          <a:r>
            <a:rPr lang="en-US" sz="1050" b="1">
              <a:solidFill>
                <a:schemeClr val="accent2">
                  <a:lumMod val="50000"/>
                </a:schemeClr>
              </a:solidFill>
            </a:rPr>
            <a:t> whereas</a:t>
          </a:r>
          <a:r>
            <a:rPr lang="en-US" sz="1050" b="1" baseline="0">
              <a:solidFill>
                <a:schemeClr val="accent2">
                  <a:lumMod val="50000"/>
                </a:schemeClr>
              </a:solidFill>
            </a:rPr>
            <a:t> negative % values </a:t>
          </a:r>
          <a:r>
            <a:rPr lang="en-US" sz="1050" b="1">
              <a:solidFill>
                <a:schemeClr val="accent2">
                  <a:lumMod val="50000"/>
                </a:schemeClr>
              </a:solidFill>
            </a:rPr>
            <a:t>indicates an inverse relationship b/w </a:t>
          </a:r>
          <a:r>
            <a:rPr lang="en-US" sz="1050" b="1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Category &amp; Crude oil.</a:t>
          </a:r>
          <a:endParaRPr lang="en-US" sz="105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434475</xdr:colOff>
      <xdr:row>54</xdr:row>
      <xdr:rowOff>160421</xdr:rowOff>
    </xdr:from>
    <xdr:to>
      <xdr:col>10</xdr:col>
      <xdr:colOff>454527</xdr:colOff>
      <xdr:row>60</xdr:row>
      <xdr:rowOff>140368</xdr:rowOff>
    </xdr:to>
    <xdr:sp macro="" textlink="">
      <xdr:nvSpPr>
        <xdr:cNvPr id="31" name="Ribbon: Tilted Down 30">
          <a:extLst>
            <a:ext uri="{FF2B5EF4-FFF2-40B4-BE49-F238E27FC236}">
              <a16:creationId xmlns="" xmlns:a16="http://schemas.microsoft.com/office/drawing/2014/main" id="{C6D6C7C6-13C4-F955-C028-3406AA38ED85}"/>
            </a:ext>
          </a:extLst>
        </xdr:cNvPr>
        <xdr:cNvSpPr/>
      </xdr:nvSpPr>
      <xdr:spPr>
        <a:xfrm>
          <a:off x="1651001" y="10266947"/>
          <a:ext cx="4886158" cy="1102895"/>
        </a:xfrm>
        <a:prstGeom prst="ribbon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2">
                  <a:lumMod val="50000"/>
                </a:schemeClr>
              </a:solidFill>
            </a:rPr>
            <a:t>As</a:t>
          </a:r>
          <a:r>
            <a:rPr lang="en-US" sz="1100" b="1" baseline="0">
              <a:solidFill>
                <a:schemeClr val="accent2">
                  <a:lumMod val="50000"/>
                </a:schemeClr>
              </a:solidFill>
            </a:rPr>
            <a:t> graph depicting Health &amp; Essential Services(Transport &amp; Comm, Fuel &amp; light) Pre covid and post Covid got respectively increment.</a:t>
          </a:r>
          <a:endParaRPr lang="en-US" sz="11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jeet Pal" refreshedDate="45542.517683333332" createdVersion="8" refreshedVersion="8" minRefreshableVersion="3" recordCount="372">
  <cacheSource type="worksheet">
    <worksheetSource ref="A1:AK373" sheet="main data"/>
  </cacheSource>
  <cacheFields count="37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/>
    </cacheField>
    <cacheField name="Month" numFmtId="0">
      <sharedItems/>
    </cacheField>
    <cacheField name="Year_month" numFmtId="0">
      <sharedItems count="126">
        <s v="2013 January"/>
        <s v="2013 February"/>
        <s v="2013 March"/>
        <s v="2013 April"/>
        <s v="2013 May"/>
        <s v="2013 June"/>
        <s v="2013 July"/>
        <s v="2013 August"/>
        <s v="2013 September"/>
        <s v="2013 October"/>
        <s v="2013 November "/>
        <s v="2013 November"/>
        <s v="2013 December"/>
        <s v="2014 January"/>
        <s v="2014 February"/>
        <s v="2014 March"/>
        <s v="2014 Marcrh"/>
        <s v="2014 April"/>
        <s v="2014 May"/>
        <s v="2014 June"/>
        <s v="2014 July"/>
        <s v="2014 August"/>
        <s v="2014 September"/>
        <s v="2014 October"/>
        <s v="2014 November"/>
        <s v="2014 December"/>
        <s v="2015 January"/>
        <s v="2015 February"/>
        <s v="2015 March"/>
        <s v="2015 April"/>
        <s v="2015 May"/>
        <s v="2015 June"/>
        <s v="2015 July"/>
        <s v="2015 August"/>
        <s v="2015 September"/>
        <s v="2015 October"/>
        <s v="2015 November"/>
        <s v="2015 December"/>
        <s v="2016 January"/>
        <s v="2016 February"/>
        <s v="2016 March"/>
        <s v="2016 April"/>
        <s v="2016 May"/>
        <s v="2016 June"/>
        <s v="2016 July"/>
        <s v="2016 August"/>
        <s v="2016 September"/>
        <s v="2016 October"/>
        <s v="2016 November"/>
        <s v="2016 December"/>
        <s v="2017 January"/>
        <s v="2017 February"/>
        <s v="2017 March"/>
        <s v="2017 April"/>
        <s v="2017 May"/>
        <s v="2017 June"/>
        <s v="2017 July"/>
        <s v="2017 August"/>
        <s v="2017 September"/>
        <s v="2017 October"/>
        <s v="2017 November"/>
        <s v="2017 December"/>
        <s v="2018 January"/>
        <s v="2018 February"/>
        <s v="2018 March"/>
        <s v="2018 April"/>
        <s v="2018 May"/>
        <s v="2018 June"/>
        <s v="2018 July"/>
        <s v="2018 August"/>
        <s v="2018 September"/>
        <s v="2018 October"/>
        <s v="2018 November"/>
        <s v="2018 December"/>
        <s v="2019 January"/>
        <s v="2019 February"/>
        <s v="2019 March"/>
        <s v="2019 May"/>
        <s v="2019 June"/>
        <s v="2019 July"/>
        <s v="2019 August"/>
        <s v="2019 September"/>
        <s v="2019 October"/>
        <s v="2019 November"/>
        <s v="2019 December"/>
        <s v="2020 January"/>
        <s v="2020 February"/>
        <s v="2020 March"/>
        <s v="2020 April"/>
        <s v="2020 May"/>
        <s v="2020 June"/>
        <s v="2020 July"/>
        <s v="2020 August"/>
        <s v="2020 September"/>
        <s v="2020 October"/>
        <s v="2020 November"/>
        <s v="2020 December"/>
        <s v="2021 January"/>
        <s v="2021 February"/>
        <s v="2021 March"/>
        <s v="2021 April"/>
        <s v="2021 May"/>
        <s v="2021 June"/>
        <s v="2021 July"/>
        <s v="2021 August"/>
        <s v="2021 September"/>
        <s v="2021 October"/>
        <s v="2021 November"/>
        <s v="2021 December"/>
        <s v="2022 January"/>
        <s v="2022 February"/>
        <s v="2022 March"/>
        <s v="2022 April"/>
        <s v="2022 May"/>
        <s v="2022 June"/>
        <s v="2022 July"/>
        <s v="2022 August"/>
        <s v="2022 September"/>
        <s v="2022 October"/>
        <s v="2022 November"/>
        <s v="2022 December"/>
        <s v="2023 January"/>
        <s v="2023 February"/>
        <s v="2023 March"/>
        <s v="2023 April"/>
        <s v="2023 May"/>
      </sharedItems>
    </cacheField>
    <cacheField name="Cereals and products" numFmtId="0">
      <sharedItems containsString="0" containsBlank="1" containsNumber="1" minValue="107.5" maxValue="174.8"/>
    </cacheField>
    <cacheField name="Meat and fish" numFmtId="0">
      <sharedItems containsString="0" containsBlank="1" containsNumber="1" minValue="106.3" maxValue="223.4"/>
    </cacheField>
    <cacheField name="Egg" numFmtId="0">
      <sharedItems containsString="0" containsBlank="1" containsNumber="1" minValue="102.7" maxValue="197"/>
    </cacheField>
    <cacheField name="Milk and products" numFmtId="0">
      <sharedItems containsString="0" containsBlank="1" containsNumber="1" minValue="103.6" maxValue="179.6"/>
    </cacheField>
    <cacheField name="Oils and fats" numFmtId="0">
      <sharedItems containsString="0" containsBlank="1" containsNumber="1" minValue="101.1" maxValue="209.9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1.4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21"/>
    </cacheField>
    <cacheField name="Non-alcoholic beverages" numFmtId="0">
      <sharedItems containsString="0" containsBlank="1" containsNumber="1" minValue="104.8" maxValue="178.7"/>
    </cacheField>
    <cacheField name="Prepared meals, scks, sweets etc." numFmtId="0">
      <sharedItems containsString="0" containsBlank="1" containsNumber="1" minValue="106.7" maxValue="197.7"/>
    </cacheField>
    <cacheField name="Food and beverages" numFmtId="0">
      <sharedItems containsString="0" containsBlank="1" containsNumber="1" minValue="105.5" maxValue="183.3"/>
    </cacheField>
    <cacheField name="Pan, tobacco and intoxicants" numFmtId="0">
      <sharedItems containsString="0" containsBlank="1" containsNumber="1" minValue="105.1" maxValue="204.2"/>
    </cacheField>
    <cacheField name="Clothing" numFmtId="0">
      <sharedItems containsString="0" containsBlank="1" containsNumber="1" minValue="105.9" maxValue="191.2"/>
    </cacheField>
    <cacheField name="Footwear" numFmtId="0">
      <sharedItems containsString="0" containsBlank="1" containsNumber="1" minValue="105" maxValue="187.9"/>
    </cacheField>
    <cacheField name="Clothing and footwear" numFmtId="0">
      <sharedItems containsString="0" containsBlank="1" containsNumber="1" minValue="105.8" maxValue="190.8"/>
    </cacheField>
    <cacheField name="Housing" numFmtId="0">
      <sharedItems containsBlank="1" containsMixedTypes="1" containsNumber="1" minValue="100.3" maxValue="175.6"/>
    </cacheField>
    <cacheField name="Fuel and light" numFmtId="0">
      <sharedItems containsString="0" containsBlank="1" containsNumber="1" minValue="105.4" maxValue="183.4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2" maxValue="169.7"/>
    </cacheField>
    <cacheField name="Recreation and amusement" numFmtId="0">
      <sharedItems containsString="0" containsBlank="1" containsNumber="1" minValue="102.9" maxValue="173.8"/>
    </cacheField>
    <cacheField name="Education" numFmtId="0">
      <sharedItems containsString="0" containsBlank="1" containsNumber="1" minValue="103.5" maxValue="180.3"/>
    </cacheField>
    <cacheField name="Persol care and effects" numFmtId="0">
      <sharedItems containsString="0" containsBlank="1" containsNumber="1" minValue="102.1" maxValue="185.6"/>
    </cacheField>
    <cacheField name="Miscellaneous" numFmtId="0">
      <sharedItems containsString="0" containsBlank="1" containsNumber="1" minValue="103.7" maxValue="179.5"/>
    </cacheField>
    <cacheField name="General index" numFmtId="0">
      <sharedItems containsString="0" containsBlank="1" containsNumber="1" minValue="104" maxValue="179.8"/>
    </cacheField>
    <cacheField name="Food &amp; Beverages" numFmtId="0">
      <sharedItems containsSemiMixedTypes="0" containsString="0" containsNumber="1" minValue="0" maxValue="2335.1"/>
    </cacheField>
    <cacheField name="Clothing &amp; Footwear" numFmtId="0">
      <sharedItems containsSemiMixedTypes="0" containsString="0" containsNumber="1" minValue="0" maxValue="569.90000000000009"/>
    </cacheField>
    <cacheField name="Housing, Fuel &amp; Utilities" numFmtId="0">
      <sharedItems containsSemiMixedTypes="0" containsString="0" containsNumber="1" minValue="0" maxValue="533.59999999999991"/>
    </cacheField>
    <cacheField name="Health &amp; Personal Care" numFmtId="0">
      <sharedItems containsBlank="1" containsMixedTypes="1" containsNumber="1" minValue="207.8" maxValue="372.70000000000005"/>
    </cacheField>
    <cacheField name="Miscellaneous, Recreation &amp; Amusement" numFmtId="0">
      <sharedItems containsBlank="1" containsMixedTypes="1" containsNumber="1" minValue="206.60000000000002" maxValue="353.3"/>
    </cacheField>
    <cacheField name="Total CPI" numFmtId="0">
      <sharedItems containsMixedTypes="1" containsNumber="1" minValue="0" maxValue="4654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n v="2013"/>
    <s v="January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m/>
    <n v="105.5"/>
    <n v="104.8"/>
    <n v="104"/>
    <n v="103.3"/>
    <n v="103.4"/>
    <n v="103.8"/>
    <n v="104.7"/>
    <n v="104"/>
    <n v="105.1"/>
    <n v="1371.6999999999998"/>
    <n v="318.70000000000005"/>
    <n v="210.3"/>
    <n v="208.7"/>
    <n v="207.4"/>
    <n v="2629"/>
  </r>
  <r>
    <x v="1"/>
    <n v="2013"/>
    <s v="January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376.4"/>
    <n v="316.7"/>
    <n v="310.5"/>
    <n v="208.39999999999998"/>
    <n v="206.60000000000002"/>
    <n v="2730.5"/>
  </r>
  <r>
    <x v="2"/>
    <n v="2013"/>
    <s v="January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373.3000000000002"/>
    <n v="318"/>
    <n v="310.60000000000002"/>
    <n v="208.5"/>
    <n v="207"/>
    <n v="2729.3"/>
  </r>
  <r>
    <x v="0"/>
    <n v="2013"/>
    <s v="February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m/>
    <n v="106.2"/>
    <n v="105.2"/>
    <n v="104.4"/>
    <n v="103.9"/>
    <n v="104"/>
    <n v="104.1"/>
    <n v="104.6"/>
    <n v="104.4"/>
    <n v="105.8"/>
    <n v="1380.3999999999999"/>
    <n v="320.39999999999998"/>
    <n v="211.4"/>
    <n v="209"/>
    <n v="208.4"/>
    <n v="2643.2000000000003"/>
  </r>
  <r>
    <x v="1"/>
    <n v="2013"/>
    <s v="February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390.6000000000001"/>
    <n v="318.5"/>
    <n v="311.3"/>
    <n v="209"/>
    <n v="207.6"/>
    <n v="2751.1000000000004"/>
  </r>
  <r>
    <x v="2"/>
    <n v="2013"/>
    <s v="February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384.2"/>
    <n v="319.7"/>
    <n v="311.60000000000002"/>
    <n v="209"/>
    <n v="208"/>
    <n v="2746.3"/>
  </r>
  <r>
    <x v="0"/>
    <n v="2013"/>
    <s v="March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m/>
    <n v="106.1"/>
    <n v="105.6"/>
    <n v="104.7"/>
    <n v="104.6"/>
    <n v="104"/>
    <n v="104.3"/>
    <n v="104.3"/>
    <n v="104.6"/>
    <n v="106"/>
    <n v="1382.2"/>
    <n v="321.89999999999998"/>
    <n v="211.7"/>
    <n v="209"/>
    <n v="208.6"/>
    <n v="2648.7999999999997"/>
  </r>
  <r>
    <x v="1"/>
    <n v="2013"/>
    <s v="March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386.8"/>
    <n v="320.2"/>
    <n v="312.10000000000002"/>
    <n v="209.4"/>
    <n v="208.4"/>
    <n v="2753.0000000000005"/>
  </r>
  <r>
    <x v="2"/>
    <n v="2013"/>
    <s v="March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384.0000000000002"/>
    <n v="321.2"/>
    <n v="312.10000000000002"/>
    <n v="209.2"/>
    <n v="208.4"/>
    <n v="2750.6000000000004"/>
  </r>
  <r>
    <x v="0"/>
    <n v="2013"/>
    <s v="April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m/>
    <n v="106.5"/>
    <n v="106.1"/>
    <n v="105.1"/>
    <n v="104.4"/>
    <n v="104.5"/>
    <n v="104.8"/>
    <n v="102.7"/>
    <n v="104.6"/>
    <n v="106.4"/>
    <n v="1385.8"/>
    <n v="323.5"/>
    <n v="212.6"/>
    <n v="207.8"/>
    <n v="209.1"/>
    <n v="2655.1"/>
  </r>
  <r>
    <x v="1"/>
    <n v="2013"/>
    <s v="April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397.6999999999998"/>
    <n v="322"/>
    <n v="313.39999999999998"/>
    <n v="208.9"/>
    <n v="209.1"/>
    <n v="2769.7999999999997"/>
  </r>
  <r>
    <x v="2"/>
    <n v="2013"/>
    <s v="April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390.2"/>
    <n v="322.89999999999998"/>
    <n v="313.3"/>
    <n v="208.2"/>
    <n v="209"/>
    <n v="2760.8"/>
  </r>
  <r>
    <x v="0"/>
    <n v="2013"/>
    <s v="May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m/>
    <n v="107.5"/>
    <n v="106.8"/>
    <n v="105.7"/>
    <n v="104.1"/>
    <n v="105"/>
    <n v="105.5"/>
    <n v="102.1"/>
    <n v="104.8"/>
    <n v="107.2"/>
    <n v="1394"/>
    <n v="325.29999999999995"/>
    <n v="214.3"/>
    <n v="207.8"/>
    <n v="209.8"/>
    <n v="2668.9000000000005"/>
  </r>
  <r>
    <x v="1"/>
    <n v="2013"/>
    <s v="May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417.1999999999998"/>
    <n v="323.5"/>
    <n v="314.79999999999995"/>
    <n v="208.8"/>
    <n v="209.5"/>
    <n v="2793.2"/>
  </r>
  <r>
    <x v="2"/>
    <n v="2013"/>
    <s v="May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402.1999999999998"/>
    <n v="324.60000000000002"/>
    <n v="314.8"/>
    <n v="208.2"/>
    <n v="209.6"/>
    <n v="2777.6"/>
  </r>
  <r>
    <x v="0"/>
    <n v="2013"/>
    <s v="June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m/>
    <n v="108.5"/>
    <n v="107.5"/>
    <n v="106.3"/>
    <n v="105"/>
    <n v="105.6"/>
    <n v="106.5"/>
    <n v="102.5"/>
    <n v="105.5"/>
    <n v="108.9"/>
    <n v="1420"/>
    <n v="328"/>
    <n v="216"/>
    <n v="208.8"/>
    <n v="211.1"/>
    <n v="2704.4"/>
  </r>
  <r>
    <x v="1"/>
    <n v="2013"/>
    <s v="June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464.6000000000001"/>
    <n v="325.3"/>
    <n v="322.3"/>
    <n v="209.8"/>
    <n v="211.3"/>
    <n v="2857.5000000000009"/>
  </r>
  <r>
    <x v="2"/>
    <n v="2013"/>
    <s v="June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436"/>
    <n v="326.89999999999998"/>
    <n v="322.5"/>
    <n v="209.2"/>
    <n v="211.2"/>
    <n v="2827.7999999999997"/>
  </r>
  <r>
    <x v="0"/>
    <n v="2013"/>
    <s v="July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m/>
    <n v="109.5"/>
    <n v="108.3"/>
    <n v="106.9"/>
    <n v="106.8"/>
    <n v="106.4"/>
    <n v="107.8"/>
    <n v="102.5"/>
    <n v="106.5"/>
    <n v="110.7"/>
    <n v="1445.8999999999996"/>
    <n v="330.3"/>
    <n v="217.8"/>
    <n v="209.4"/>
    <n v="212.9"/>
    <n v="2740.7000000000003"/>
  </r>
  <r>
    <x v="1"/>
    <n v="2013"/>
    <s v="July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489.4"/>
    <n v="327.10000000000002"/>
    <n v="324.39999999999998"/>
    <n v="210.3"/>
    <n v="213.2"/>
    <n v="2893.5"/>
  </r>
  <r>
    <x v="2"/>
    <n v="2013"/>
    <s v="July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461.3999999999999"/>
    <n v="329"/>
    <n v="325.10000000000002"/>
    <n v="209.8"/>
    <n v="213"/>
    <n v="2864.7999999999997"/>
  </r>
  <r>
    <x v="0"/>
    <n v="2013"/>
    <s v="August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m/>
    <n v="109.9"/>
    <n v="108.7"/>
    <n v="107.5"/>
    <n v="107.8"/>
    <n v="106.8"/>
    <n v="108.7"/>
    <n v="105"/>
    <n v="107.5"/>
    <n v="112.1"/>
    <n v="1462.5"/>
    <n v="332.6"/>
    <n v="218.60000000000002"/>
    <n v="212.5"/>
    <n v="214.3"/>
    <n v="2767.7000000000003"/>
  </r>
  <r>
    <x v="1"/>
    <n v="2013"/>
    <s v="August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506.1000000000001"/>
    <n v="329.09999999999997"/>
    <n v="326.89999999999998"/>
    <n v="213.6"/>
    <n v="214.8"/>
    <n v="2921.8"/>
  </r>
  <r>
    <x v="2"/>
    <n v="2013"/>
    <s v="August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477.4"/>
    <n v="331.1"/>
    <n v="327.3"/>
    <n v="212.9"/>
    <n v="214.5"/>
    <n v="2892.3"/>
  </r>
  <r>
    <x v="0"/>
    <n v="2013"/>
    <s v="September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m/>
    <n v="111.1"/>
    <n v="109.6"/>
    <n v="108.3"/>
    <n v="109.3"/>
    <n v="107.7"/>
    <n v="109.8"/>
    <n v="106.7"/>
    <n v="108.7"/>
    <n v="114.2"/>
    <n v="1488.5000000000002"/>
    <n v="336.6"/>
    <n v="220.7"/>
    <n v="215"/>
    <n v="216.4"/>
    <n v="2808"/>
  </r>
  <r>
    <x v="1"/>
    <n v="2013"/>
    <s v="September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500.4"/>
    <n v="331.5"/>
    <n v="328.79999999999995"/>
    <n v="214.8"/>
    <n v="216.8"/>
    <n v="2926.8"/>
  </r>
  <r>
    <x v="2"/>
    <n v="2013"/>
    <s v="September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491.6999999999998"/>
    <n v="334.5"/>
    <n v="329.79999999999995"/>
    <n v="214.89999999999998"/>
    <n v="216.5"/>
    <n v="2919.9"/>
  </r>
  <r>
    <x v="0"/>
    <n v="2013"/>
    <s v="October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m/>
    <n v="111.6"/>
    <n v="110.4"/>
    <n v="108.9"/>
    <n v="109.3"/>
    <n v="108.3"/>
    <n v="110.2"/>
    <n v="107.5"/>
    <n v="109.1"/>
    <n v="115.5"/>
    <n v="1508"/>
    <n v="339.29999999999995"/>
    <n v="222"/>
    <n v="216.4"/>
    <n v="217.39999999999998"/>
    <n v="2834.8"/>
  </r>
  <r>
    <x v="1"/>
    <n v="2013"/>
    <s v="October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517.1999999999998"/>
    <n v="334.2"/>
    <n v="330.4"/>
    <n v="215.5"/>
    <n v="217.4"/>
    <n v="2949.2"/>
  </r>
  <r>
    <x v="2"/>
    <n v="2013"/>
    <s v="October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510.2000000000003"/>
    <n v="337.2"/>
    <n v="331.7"/>
    <n v="216"/>
    <n v="217.3"/>
    <n v="2945.2000000000003"/>
  </r>
  <r>
    <x v="0"/>
    <n v="2013"/>
    <s v="November 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m/>
    <n v="112.6"/>
    <n v="111.3"/>
    <n v="109.7"/>
    <n v="109.6"/>
    <n v="108.7"/>
    <n v="111"/>
    <n v="108.2"/>
    <n v="109.8"/>
    <n v="117.4"/>
    <n v="1536.8"/>
    <n v="342.1"/>
    <n v="223.89999999999998"/>
    <n v="217.9"/>
    <n v="218.5"/>
    <n v="2872.6"/>
  </r>
  <r>
    <x v="1"/>
    <n v="2013"/>
    <s v="November"/>
    <x v="11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544.6"/>
    <n v="336.8"/>
    <n v="332"/>
    <n v="216.5"/>
    <n v="218.1"/>
    <n v="2982.9"/>
  </r>
  <r>
    <x v="2"/>
    <n v="2013"/>
    <s v="November"/>
    <x v="11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538.8"/>
    <n v="339.90000000000003"/>
    <n v="333.79999999999995"/>
    <n v="217.39999999999998"/>
    <n v="218.3"/>
    <n v="2982.0000000000005"/>
  </r>
  <r>
    <x v="0"/>
    <n v="2013"/>
    <s v="December"/>
    <x v="12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m/>
    <n v="112.8"/>
    <n v="112.1"/>
    <n v="110.1"/>
    <n v="109.9"/>
    <n v="109.2"/>
    <n v="111.6"/>
    <n v="108.1"/>
    <n v="110.1"/>
    <n v="115.5"/>
    <n v="1509"/>
    <n v="345.3"/>
    <n v="224.89999999999998"/>
    <n v="218.2"/>
    <n v="219.3"/>
    <n v="2851.8"/>
  </r>
  <r>
    <x v="1"/>
    <n v="2013"/>
    <s v="December"/>
    <x v="12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504.4"/>
    <n v="338.8"/>
    <n v="332.40000000000003"/>
    <n v="216.7"/>
    <n v="218.7"/>
    <n v="2947.1"/>
  </r>
  <r>
    <x v="2"/>
    <n v="2013"/>
    <s v="December"/>
    <x v="12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507.3000000000002"/>
    <n v="342.7"/>
    <n v="334.3"/>
    <n v="217.60000000000002"/>
    <n v="219"/>
    <n v="2956.2000000000003"/>
  </r>
  <r>
    <x v="0"/>
    <n v="2014"/>
    <s v="January"/>
    <x v="13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m/>
    <n v="113"/>
    <n v="112.6"/>
    <n v="110.6"/>
    <n v="110.5"/>
    <n v="109.6"/>
    <n v="111.8"/>
    <n v="108.3"/>
    <n v="110.6"/>
    <n v="114.2"/>
    <n v="1486.6000000000001"/>
    <n v="347.2"/>
    <n v="225.6"/>
    <n v="218.89999999999998"/>
    <n v="220.2"/>
    <n v="2834.7999999999997"/>
  </r>
  <r>
    <x v="1"/>
    <n v="2014"/>
    <s v="January"/>
    <x v="13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484.3"/>
    <n v="340.4"/>
    <n v="334.5"/>
    <n v="217.7"/>
    <n v="220.3"/>
    <n v="2935.2"/>
  </r>
  <r>
    <x v="2"/>
    <n v="2014"/>
    <s v="January"/>
    <x v="13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485.7999999999997"/>
    <n v="344.4"/>
    <n v="336.1"/>
    <n v="218.5"/>
    <n v="220.3"/>
    <n v="2941.8999999999996"/>
  </r>
  <r>
    <x v="0"/>
    <n v="2014"/>
    <s v="February"/>
    <x v="14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m/>
    <n v="113.2"/>
    <n v="112.9"/>
    <n v="110.9"/>
    <n v="110.8"/>
    <n v="109.9"/>
    <n v="112"/>
    <n v="108.7"/>
    <n v="110.9"/>
    <n v="114"/>
    <n v="1482.2"/>
    <n v="348.3"/>
    <n v="226.10000000000002"/>
    <n v="219.60000000000002"/>
    <n v="220.8"/>
    <n v="2834"/>
  </r>
  <r>
    <x v="1"/>
    <n v="2014"/>
    <s v="February"/>
    <x v="14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476"/>
    <n v="341.7"/>
    <n v="336.2"/>
    <n v="219.10000000000002"/>
    <n v="221.3"/>
    <n v="2933.3999999999996"/>
  </r>
  <r>
    <x v="2"/>
    <n v="2014"/>
    <s v="February"/>
    <x v="14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480.1"/>
    <n v="345.6"/>
    <n v="337.7"/>
    <n v="219.4"/>
    <n v="221"/>
    <n v="2941.3999999999996"/>
  </r>
  <r>
    <x v="0"/>
    <n v="2014"/>
    <s v="March"/>
    <x v="15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m/>
    <n v="113.4"/>
    <n v="113.4"/>
    <n v="111.4"/>
    <n v="111.2"/>
    <n v="110.2"/>
    <n v="112.4"/>
    <n v="108.9"/>
    <n v="111.3"/>
    <n v="114.6"/>
    <n v="1491.4"/>
    <n v="349.6"/>
    <n v="226.8"/>
    <n v="220.3"/>
    <n v="221.5"/>
    <n v="2847.8000000000006"/>
  </r>
  <r>
    <x v="1"/>
    <n v="2014"/>
    <s v="March"/>
    <x v="15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483"/>
    <n v="343.09999999999997"/>
    <n v="337.1"/>
    <n v="220"/>
    <n v="222.3"/>
    <n v="2945.6"/>
  </r>
  <r>
    <x v="2"/>
    <n v="2014"/>
    <s v="Marcrh"/>
    <x v="16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488.2999999999997"/>
    <n v="346.9"/>
    <n v="338.9"/>
    <n v="220.2"/>
    <n v="221.89999999999998"/>
    <n v="2954.7999999999997"/>
  </r>
  <r>
    <x v="0"/>
    <n v="2014"/>
    <s v="April"/>
    <x v="17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m/>
    <n v="113.4"/>
    <n v="113.7"/>
    <n v="111.8"/>
    <n v="111.2"/>
    <n v="110.5"/>
    <n v="113"/>
    <n v="108.9"/>
    <n v="111.5"/>
    <n v="115.4"/>
    <n v="1504.1000000000001"/>
    <n v="352"/>
    <n v="227.10000000000002"/>
    <n v="220.7"/>
    <n v="222"/>
    <n v="2865.5"/>
  </r>
  <r>
    <x v="1"/>
    <n v="2014"/>
    <s v="April"/>
    <x v="17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504.0000000000002"/>
    <n v="344.5"/>
    <n v="338.20000000000005"/>
    <n v="220.1"/>
    <n v="222.60000000000002"/>
    <n v="2970.7"/>
  </r>
  <r>
    <x v="2"/>
    <n v="2014"/>
    <s v="April"/>
    <x v="17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504.1"/>
    <n v="349"/>
    <n v="340"/>
    <n v="220.5"/>
    <n v="222.4"/>
    <n v="2975.9"/>
  </r>
  <r>
    <x v="0"/>
    <n v="2014"/>
    <s v="May"/>
    <x v="18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m/>
    <n v="113.4"/>
    <n v="114.1"/>
    <n v="112.1"/>
    <n v="111.4"/>
    <n v="110.9"/>
    <n v="113.1"/>
    <n v="108.9"/>
    <n v="111.8"/>
    <n v="116"/>
    <n v="1513.8999999999999"/>
    <n v="354"/>
    <n v="227.5"/>
    <n v="221"/>
    <n v="222.7"/>
    <n v="2879.8999999999996"/>
  </r>
  <r>
    <x v="1"/>
    <n v="2014"/>
    <s v="May"/>
    <x v="18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525.3000000000002"/>
    <n v="345.9"/>
    <n v="339.5"/>
    <n v="220.5"/>
    <n v="223.2"/>
    <n v="2996.9"/>
  </r>
  <r>
    <x v="2"/>
    <n v="2014"/>
    <s v="May"/>
    <x v="18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518.5000000000005"/>
    <n v="350.79999999999995"/>
    <n v="340.9"/>
    <n v="220.89999999999998"/>
    <n v="223"/>
    <n v="2995.2000000000007"/>
  </r>
  <r>
    <x v="0"/>
    <n v="2014"/>
    <s v="June"/>
    <x v="19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m/>
    <n v="114.4"/>
    <n v="114.9"/>
    <n v="112.8"/>
    <n v="112.2"/>
    <n v="111.4"/>
    <n v="114.3"/>
    <n v="108"/>
    <n v="112.3"/>
    <n v="117"/>
    <n v="1525.6999999999998"/>
    <n v="356.3"/>
    <n v="229.3"/>
    <n v="220.8"/>
    <n v="223.7"/>
    <n v="2899.6"/>
  </r>
  <r>
    <x v="1"/>
    <n v="2014"/>
    <s v="June"/>
    <x v="19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547"/>
    <n v="347.3"/>
    <n v="339.40000000000003"/>
    <n v="220.10000000000002"/>
    <n v="224"/>
    <n v="3023.4"/>
  </r>
  <r>
    <x v="2"/>
    <n v="2014"/>
    <s v="June"/>
    <x v="19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533.7000000000003"/>
    <n v="352.7"/>
    <n v="341.70000000000005"/>
    <n v="220.6"/>
    <n v="223.89999999999998"/>
    <n v="3017"/>
  </r>
  <r>
    <x v="0"/>
    <n v="2014"/>
    <s v="July"/>
    <x v="20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m/>
    <n v="115.3"/>
    <n v="115.4"/>
    <n v="113.4"/>
    <n v="113.2"/>
    <n v="111.8"/>
    <n v="115.5"/>
    <n v="108.8"/>
    <n v="113.1"/>
    <n v="119.5"/>
    <n v="1563.2"/>
    <n v="359.3"/>
    <n v="230.7"/>
    <n v="222.2"/>
    <n v="224.89999999999998"/>
    <n v="2947"/>
  </r>
  <r>
    <x v="1"/>
    <n v="2014"/>
    <s v="July"/>
    <x v="20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599.5"/>
    <n v="349"/>
    <n v="341.29999999999995"/>
    <n v="221.2"/>
    <n v="225.9"/>
    <n v="3088.7000000000003"/>
  </r>
  <r>
    <x v="2"/>
    <n v="2014"/>
    <s v="July"/>
    <x v="20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576.3"/>
    <n v="355"/>
    <n v="343.9"/>
    <n v="221.9"/>
    <n v="225.39999999999998"/>
    <n v="3071.2000000000003"/>
  </r>
  <r>
    <x v="0"/>
    <n v="2014"/>
    <s v="August"/>
    <x v="21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m/>
    <n v="115.4"/>
    <n v="115.9"/>
    <n v="114"/>
    <n v="113.2"/>
    <n v="112.2"/>
    <n v="116.2"/>
    <n v="109.4"/>
    <n v="113.5"/>
    <n v="120.7"/>
    <n v="1582.2999999999997"/>
    <n v="360.4"/>
    <n v="231.3"/>
    <n v="223.4"/>
    <n v="225.7"/>
    <n v="2971.2999999999997"/>
  </r>
  <r>
    <x v="1"/>
    <n v="2014"/>
    <s v="August"/>
    <x v="21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617"/>
    <n v="350.6"/>
    <n v="342.6"/>
    <n v="222.7"/>
    <n v="226.8"/>
    <n v="3114.4"/>
  </r>
  <r>
    <x v="2"/>
    <n v="2014"/>
    <s v="August"/>
    <x v="21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594.4999999999998"/>
    <n v="356.4"/>
    <n v="345.1"/>
    <n v="223.2"/>
    <n v="226.3"/>
    <n v="3096.2"/>
  </r>
  <r>
    <x v="0"/>
    <n v="2014"/>
    <s v="September"/>
    <x v="22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m/>
    <n v="115.8"/>
    <n v="116.7"/>
    <n v="114.5"/>
    <n v="112.8"/>
    <n v="112.6"/>
    <n v="116.6"/>
    <n v="109.1"/>
    <n v="113.7"/>
    <n v="120.9"/>
    <n v="1583.2"/>
    <n v="362.2"/>
    <n v="232.5"/>
    <n v="223.6"/>
    <n v="226.3"/>
    <n v="2976.7"/>
  </r>
  <r>
    <x v="1"/>
    <n v="2014"/>
    <s v="September"/>
    <x v="22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593.7000000000003"/>
    <n v="352.1"/>
    <n v="343.4"/>
    <n v="222.3"/>
    <n v="227"/>
    <n v="3094.0000000000005"/>
  </r>
  <r>
    <x v="2"/>
    <n v="2014"/>
    <s v="September"/>
    <x v="22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586.0999999999997"/>
    <n v="358"/>
    <n v="346.5"/>
    <n v="223.2"/>
    <n v="226.8"/>
    <n v="3091.9999999999995"/>
  </r>
  <r>
    <x v="0"/>
    <n v="2014"/>
    <s v="October"/>
    <x v="23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m/>
    <n v="116.4"/>
    <n v="117.5"/>
    <n v="115.3"/>
    <n v="112.6"/>
    <n v="113"/>
    <n v="116.9"/>
    <n v="109.3"/>
    <n v="114"/>
    <n v="121"/>
    <n v="1581.1999999999998"/>
    <n v="365.3"/>
    <n v="233.9"/>
    <n v="224.6"/>
    <n v="227"/>
    <n v="2981.5"/>
  </r>
  <r>
    <x v="1"/>
    <n v="2014"/>
    <s v="October"/>
    <x v="23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587.5"/>
    <n v="353.4"/>
    <n v="344.5"/>
    <n v="222.7"/>
    <n v="227.3"/>
    <n v="3090.9"/>
  </r>
  <r>
    <x v="2"/>
    <n v="2014"/>
    <s v="October"/>
    <x v="23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582.7"/>
    <n v="360.6"/>
    <n v="348.1"/>
    <n v="223.89999999999998"/>
    <n v="227.2"/>
    <n v="3094.2"/>
  </r>
  <r>
    <x v="0"/>
    <n v="2014"/>
    <s v="November"/>
    <x v="24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m/>
    <n v="117.3"/>
    <n v="118.1"/>
    <n v="115.9"/>
    <n v="112"/>
    <n v="113.3"/>
    <n v="117.2"/>
    <n v="108.8"/>
    <n v="114.1"/>
    <n v="121.1"/>
    <n v="1582"/>
    <n v="366.70000000000005"/>
    <n v="235.39999999999998"/>
    <n v="224.7"/>
    <n v="227.39999999999998"/>
    <n v="2986.2"/>
  </r>
  <r>
    <x v="1"/>
    <n v="2014"/>
    <s v="November"/>
    <x v="24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587.8"/>
    <n v="355.2"/>
    <n v="346.1"/>
    <n v="222.6"/>
    <n v="227.4"/>
    <n v="3094.8999999999996"/>
  </r>
  <r>
    <x v="2"/>
    <n v="2014"/>
    <s v="November"/>
    <x v="24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583.2"/>
    <n v="362.1"/>
    <n v="349.9"/>
    <n v="223.89999999999998"/>
    <n v="227.5"/>
    <n v="3098.5"/>
  </r>
  <r>
    <x v="0"/>
    <n v="2014"/>
    <s v="December"/>
    <x v="25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m/>
    <n v="117.4"/>
    <n v="118.2"/>
    <n v="116.2"/>
    <n v="111.5"/>
    <n v="113.3"/>
    <n v="117.7"/>
    <n v="109.4"/>
    <n v="114.2"/>
    <n v="120.3"/>
    <n v="1569.6"/>
    <n v="367.7"/>
    <n v="235.60000000000002"/>
    <n v="225.60000000000002"/>
    <n v="227.5"/>
    <n v="2976.8999999999996"/>
  </r>
  <r>
    <x v="1"/>
    <n v="2014"/>
    <s v="December"/>
    <x v="25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577.1999999999998"/>
    <n v="356.5"/>
    <n v="346.3"/>
    <n v="223.60000000000002"/>
    <n v="227.7"/>
    <n v="3087.2"/>
  </r>
  <r>
    <x v="2"/>
    <n v="2014"/>
    <s v="December"/>
    <x v="25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571.6999999999998"/>
    <n v="363.2"/>
    <n v="349.7"/>
    <n v="224.89999999999998"/>
    <n v="227.7"/>
    <n v="3089.7999999999993"/>
  </r>
  <r>
    <x v="0"/>
    <n v="2015"/>
    <s v="January"/>
    <x v="26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m/>
    <n v="118.4"/>
    <n v="118.9"/>
    <n v="116.6"/>
    <n v="111"/>
    <n v="114"/>
    <n v="118.2"/>
    <n v="110.2"/>
    <n v="114.5"/>
    <n v="120.3"/>
    <n v="1568.1"/>
    <n v="370"/>
    <n v="237.3"/>
    <n v="226.8"/>
    <n v="228.5"/>
    <n v="2982.6000000000004"/>
  </r>
  <r>
    <x v="1"/>
    <n v="2015"/>
    <s v="January"/>
    <x v="26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574.8999999999999"/>
    <n v="357.3"/>
    <n v="347.9"/>
    <n v="225.10000000000002"/>
    <n v="228"/>
    <n v="3089.3"/>
  </r>
  <r>
    <x v="2"/>
    <n v="2015"/>
    <s v="January"/>
    <x v="26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569.3"/>
    <n v="364.9"/>
    <n v="351.9"/>
    <n v="226.2"/>
    <n v="228.3"/>
    <n v="3093.7000000000003"/>
  </r>
  <r>
    <x v="0"/>
    <n v="2015"/>
    <s v="February"/>
    <x v="27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m/>
    <n v="120"/>
    <n v="119.6"/>
    <n v="117.7"/>
    <n v="110.9"/>
    <n v="114.8"/>
    <n v="118.7"/>
    <n v="110.8"/>
    <n v="115"/>
    <n v="120.6"/>
    <n v="1570.5999999999997"/>
    <n v="373.1"/>
    <n v="239.6"/>
    <n v="228.5"/>
    <n v="229.8"/>
    <n v="2995.3999999999996"/>
  </r>
  <r>
    <x v="1"/>
    <n v="2015"/>
    <s v="February"/>
    <x v="27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571.1000000000001"/>
    <n v="358.4"/>
    <n v="349.8"/>
    <n v="225.8"/>
    <n v="228.10000000000002"/>
    <n v="3088.5000000000005"/>
  </r>
  <r>
    <x v="2"/>
    <n v="2015"/>
    <s v="February"/>
    <x v="27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569.3999999999996"/>
    <n v="367.2"/>
    <n v="354.5"/>
    <n v="227.5"/>
    <n v="229"/>
    <n v="3101.1999999999994"/>
  </r>
  <r>
    <x v="0"/>
    <n v="2015"/>
    <s v="March"/>
    <x v="28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m/>
    <n v="120.6"/>
    <n v="120.2"/>
    <n v="118.2"/>
    <n v="111.6"/>
    <n v="115.5"/>
    <n v="119.4"/>
    <n v="110.8"/>
    <n v="115.5"/>
    <n v="121.1"/>
    <n v="1571.5"/>
    <n v="374.4"/>
    <n v="240.8"/>
    <n v="229"/>
    <n v="231"/>
    <n v="3002.4"/>
  </r>
  <r>
    <x v="1"/>
    <n v="2015"/>
    <s v="March"/>
    <x v="28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568.0000000000002"/>
    <n v="359.5"/>
    <n v="351"/>
    <n v="225.6"/>
    <n v="229.2"/>
    <n v="3091.1"/>
  </r>
  <r>
    <x v="2"/>
    <n v="2015"/>
    <s v="March"/>
    <x v="28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569.1"/>
    <n v="368.4"/>
    <n v="356.09999999999997"/>
    <n v="227.7"/>
    <n v="230.10000000000002"/>
    <n v="3107.1999999999994"/>
  </r>
  <r>
    <x v="0"/>
    <n v="2015"/>
    <s v="April"/>
    <x v="29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m/>
    <n v="121.2"/>
    <n v="120.9"/>
    <n v="118.6"/>
    <n v="111.9"/>
    <n v="116.2"/>
    <n v="119.9"/>
    <n v="111.6"/>
    <n v="116"/>
    <n v="121.5"/>
    <n v="1577.2"/>
    <n v="375.7"/>
    <n v="242.10000000000002"/>
    <n v="230.2"/>
    <n v="232.2"/>
    <n v="3014.8999999999996"/>
  </r>
  <r>
    <x v="1"/>
    <n v="2015"/>
    <s v="April"/>
    <x v="29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576.1"/>
    <n v="360.6"/>
    <n v="352.3"/>
    <n v="226.39999999999998"/>
    <n v="229.8"/>
    <n v="3105.4000000000005"/>
  </r>
  <r>
    <x v="2"/>
    <n v="2015"/>
    <s v="April"/>
    <x v="29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575.7"/>
    <n v="369.6"/>
    <n v="357.6"/>
    <n v="228.8"/>
    <n v="231"/>
    <n v="3120.7000000000003"/>
  </r>
  <r>
    <x v="0"/>
    <n v="2015"/>
    <s v="May"/>
    <x v="30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m/>
    <n v="121.9"/>
    <n v="121.5"/>
    <n v="119.4"/>
    <n v="113.3"/>
    <n v="116.7"/>
    <n v="120.5"/>
    <n v="112.3"/>
    <n v="116.9"/>
    <n v="122.4"/>
    <n v="1587.7"/>
    <n v="378.2"/>
    <n v="243.4"/>
    <n v="231.7"/>
    <n v="233.60000000000002"/>
    <n v="3035.1"/>
  </r>
  <r>
    <x v="1"/>
    <n v="2015"/>
    <s v="May"/>
    <x v="30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598.9"/>
    <n v="361.4"/>
    <n v="353.2"/>
    <n v="227.3"/>
    <n v="231.2"/>
    <n v="3136.1"/>
  </r>
  <r>
    <x v="2"/>
    <n v="2015"/>
    <s v="May"/>
    <x v="30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590.4"/>
    <n v="371.4"/>
    <n v="359"/>
    <n v="230"/>
    <n v="232.39999999999998"/>
    <n v="3144.5"/>
  </r>
  <r>
    <x v="0"/>
    <n v="2015"/>
    <s v="June"/>
    <x v="31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m/>
    <n v="122.6"/>
    <n v="122.8"/>
    <n v="120.4"/>
    <n v="114.2"/>
    <n v="117.9"/>
    <n v="122"/>
    <n v="113"/>
    <n v="117.9"/>
    <n v="124.1"/>
    <n v="1617.8999999999999"/>
    <n v="381.5"/>
    <n v="245.39999999999998"/>
    <n v="233.4"/>
    <n v="235.8"/>
    <n v="3078.4"/>
  </r>
  <r>
    <x v="1"/>
    <n v="2015"/>
    <s v="June"/>
    <x v="31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636.6"/>
    <n v="363.1"/>
    <n v="353.3"/>
    <n v="227.9"/>
    <n v="232.2"/>
    <n v="3180.7"/>
  </r>
  <r>
    <x v="2"/>
    <n v="2015"/>
    <s v="June"/>
    <x v="31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623.5"/>
    <n v="374.1"/>
    <n v="359.9"/>
    <n v="231.3"/>
    <n v="233.9"/>
    <n v="3187.9000000000005"/>
  </r>
  <r>
    <x v="0"/>
    <n v="2015"/>
    <s v="July"/>
    <x v="32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m/>
    <n v="123"/>
    <n v="123"/>
    <n v="120.8"/>
    <n v="114.1"/>
    <n v="118"/>
    <n v="122.9"/>
    <n v="112.7"/>
    <n v="118.1"/>
    <n v="124.7"/>
    <n v="1625.3"/>
    <n v="382.6"/>
    <n v="246"/>
    <n v="233.5"/>
    <n v="236.1"/>
    <n v="3089.8999999999996"/>
  </r>
  <r>
    <x v="1"/>
    <n v="2015"/>
    <s v="July"/>
    <x v="32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642.8999999999999"/>
    <n v="364.1"/>
    <n v="354.7"/>
    <n v="227.7"/>
    <n v="232.89999999999998"/>
    <n v="3192.2999999999997"/>
  </r>
  <r>
    <x v="2"/>
    <n v="2015"/>
    <s v="July"/>
    <x v="32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630.6000000000001"/>
    <n v="375.1"/>
    <n v="361.3"/>
    <n v="231.3"/>
    <n v="234.4"/>
    <n v="3200.2000000000007"/>
  </r>
  <r>
    <x v="0"/>
    <n v="2015"/>
    <s v="August"/>
    <x v="33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m/>
    <n v="123.8"/>
    <n v="123.7"/>
    <n v="121.1"/>
    <n v="113.6"/>
    <n v="118.5"/>
    <n v="123.6"/>
    <n v="112.5"/>
    <n v="118.2"/>
    <n v="126.1"/>
    <n v="1646.6"/>
    <n v="384.8"/>
    <n v="247.5"/>
    <n v="233.6"/>
    <n v="236.7"/>
    <n v="3116.4999999999995"/>
  </r>
  <r>
    <x v="1"/>
    <n v="2015"/>
    <s v="August"/>
    <x v="33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658.8999999999999"/>
    <n v="364.8"/>
    <n v="356.2"/>
    <n v="228.6"/>
    <n v="233.4"/>
    <n v="3212.2"/>
  </r>
  <r>
    <x v="2"/>
    <n v="2015"/>
    <s v="August"/>
    <x v="33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649.6"/>
    <n v="376.70000000000005"/>
    <n v="363.5"/>
    <n v="231.7"/>
    <n v="235"/>
    <n v="3224.5"/>
  </r>
  <r>
    <x v="0"/>
    <n v="2015"/>
    <s v="September"/>
    <x v="34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m/>
    <n v="123.7"/>
    <n v="124.5"/>
    <n v="121.4"/>
    <n v="113.8"/>
    <n v="119.6"/>
    <n v="124.5"/>
    <n v="113.7"/>
    <n v="118.8"/>
    <n v="127"/>
    <n v="1657.6000000000001"/>
    <n v="387.1"/>
    <n v="248.2"/>
    <n v="235.10000000000002"/>
    <n v="238.39999999999998"/>
    <n v="3135.7"/>
  </r>
  <r>
    <x v="1"/>
    <n v="2015"/>
    <s v="September"/>
    <x v="34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664.8"/>
    <n v="365.8"/>
    <n v="357.1"/>
    <n v="230"/>
    <n v="233.5"/>
    <n v="3221.5"/>
  </r>
  <r>
    <x v="2"/>
    <n v="2015"/>
    <s v="September"/>
    <x v="34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658.3000000000002"/>
    <n v="378.5"/>
    <n v="364.6"/>
    <n v="233.2"/>
    <n v="235.8"/>
    <n v="3239.4"/>
  </r>
  <r>
    <x v="0"/>
    <n v="2015"/>
    <s v="October"/>
    <x v="35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m/>
    <n v="124.4"/>
    <n v="125.1"/>
    <n v="122"/>
    <n v="113.8"/>
    <n v="120.1"/>
    <n v="125.1"/>
    <n v="114.2"/>
    <n v="119.2"/>
    <n v="127.7"/>
    <n v="1674.6"/>
    <n v="389"/>
    <n v="249.5"/>
    <n v="236.2"/>
    <n v="239.3"/>
    <n v="3159"/>
  </r>
  <r>
    <x v="1"/>
    <n v="2015"/>
    <s v="October"/>
    <x v="35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692.8000000000002"/>
    <n v="366.79999999999995"/>
    <n v="358"/>
    <n v="231.2"/>
    <n v="234.2"/>
    <n v="3254.0999999999995"/>
  </r>
  <r>
    <x v="2"/>
    <n v="2015"/>
    <s v="October"/>
    <x v="35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678.9999999999998"/>
    <n v="380.1"/>
    <n v="366.2"/>
    <n v="234.3"/>
    <n v="236.60000000000002"/>
    <n v="3265.9999999999995"/>
  </r>
  <r>
    <x v="0"/>
    <n v="2015"/>
    <s v="November"/>
    <x v="36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m/>
    <n v="125.6"/>
    <n v="125.6"/>
    <n v="122.6"/>
    <n v="114"/>
    <n v="120.9"/>
    <n v="125.8"/>
    <n v="114.2"/>
    <n v="119.6"/>
    <n v="128.30000000000001"/>
    <n v="1686.3"/>
    <n v="391.79999999999995"/>
    <n v="251.2"/>
    <n v="236.8"/>
    <n v="240.5"/>
    <n v="3178.6000000000004"/>
  </r>
  <r>
    <x v="1"/>
    <n v="2015"/>
    <s v="November"/>
    <x v="36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708.4999999999998"/>
    <n v="368.5"/>
    <n v="359"/>
    <n v="231.39999999999998"/>
    <n v="234.5"/>
    <n v="3275.4"/>
  </r>
  <r>
    <x v="2"/>
    <n v="2015"/>
    <s v="November"/>
    <x v="36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692.1"/>
    <n v="382.4"/>
    <n v="367.9"/>
    <n v="234.7"/>
    <n v="237.3"/>
    <n v="3285.8"/>
  </r>
  <r>
    <x v="0"/>
    <n v="2015"/>
    <s v="December"/>
    <x v="37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m/>
    <n v="125.7"/>
    <n v="126"/>
    <n v="123.1"/>
    <n v="114"/>
    <n v="121.6"/>
    <n v="125.6"/>
    <n v="114.1"/>
    <n v="119.8"/>
    <n v="127.9"/>
    <n v="1682.3000000000002"/>
    <n v="392.9"/>
    <n v="251.7"/>
    <n v="237.2"/>
    <n v="241.39999999999998"/>
    <n v="3178.2"/>
  </r>
  <r>
    <x v="1"/>
    <n v="2015"/>
    <s v="December"/>
    <x v="37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698.8"/>
    <n v="369.4"/>
    <n v="359.4"/>
    <n v="231.8"/>
    <n v="234.8"/>
    <n v="3268.3000000000006"/>
  </r>
  <r>
    <x v="2"/>
    <n v="2015"/>
    <s v="December"/>
    <x v="37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686.1000000000001"/>
    <n v="383.5"/>
    <n v="368"/>
    <n v="235.10000000000002"/>
    <n v="237.89999999999998"/>
    <n v="3282.8"/>
  </r>
  <r>
    <x v="0"/>
    <n v="2016"/>
    <s v="January"/>
    <x v="38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m/>
    <n v="126.2"/>
    <n v="126.6"/>
    <n v="123.7"/>
    <n v="113.6"/>
    <n v="121.4"/>
    <n v="126.2"/>
    <n v="114.9"/>
    <n v="120.1"/>
    <n v="128.1"/>
    <n v="1690.1000000000001"/>
    <n v="394.70000000000005"/>
    <n v="252.8"/>
    <n v="238.60000000000002"/>
    <n v="241.5"/>
    <n v="3191.1"/>
  </r>
  <r>
    <x v="1"/>
    <n v="2016"/>
    <s v="January"/>
    <x v="38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701.4"/>
    <n v="370.5"/>
    <n v="361.9"/>
    <n v="233.1"/>
    <n v="235.3"/>
    <n v="3277.0000000000005"/>
  </r>
  <r>
    <x v="2"/>
    <n v="2016"/>
    <s v="January"/>
    <x v="38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691.7"/>
    <n v="384.9"/>
    <n v="370.3"/>
    <n v="236.5"/>
    <n v="238.3"/>
    <n v="3294.3000000000006"/>
  </r>
  <r>
    <x v="0"/>
    <n v="2016"/>
    <s v="February"/>
    <x v="39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m/>
    <n v="127.5"/>
    <n v="127.1"/>
    <n v="124.3"/>
    <n v="113.9"/>
    <n v="122.3"/>
    <n v="127.1"/>
    <n v="116.8"/>
    <n v="120.9"/>
    <n v="127.9"/>
    <n v="1682.6"/>
    <n v="397.1"/>
    <n v="254.6"/>
    <n v="241.1"/>
    <n v="243.2"/>
    <n v="3193.9999999999995"/>
  </r>
  <r>
    <x v="1"/>
    <n v="2016"/>
    <s v="February"/>
    <x v="39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676.1"/>
    <n v="371.6"/>
    <n v="362.2"/>
    <n v="235.7"/>
    <n v="236"/>
    <n v="3256.9999999999995"/>
  </r>
  <r>
    <x v="2"/>
    <n v="2016"/>
    <s v="February"/>
    <x v="39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678.1"/>
    <n v="386.9"/>
    <n v="372.1"/>
    <n v="239.1"/>
    <n v="239.39999999999998"/>
    <n v="3289.5"/>
  </r>
  <r>
    <x v="0"/>
    <n v="2016"/>
    <s v="March"/>
    <x v="40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m/>
    <n v="127"/>
    <n v="127.7"/>
    <n v="124.8"/>
    <n v="113.6"/>
    <n v="122.5"/>
    <n v="127.5"/>
    <n v="117.4"/>
    <n v="121.1"/>
    <n v="128"/>
    <n v="1682.7000000000003"/>
    <n v="398.40000000000003"/>
    <n v="254.7"/>
    <n v="242.2"/>
    <n v="243.6"/>
    <n v="3197.7"/>
  </r>
  <r>
    <x v="1"/>
    <n v="2016"/>
    <s v="March"/>
    <x v="40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667.6000000000001"/>
    <n v="372.2"/>
    <n v="362"/>
    <n v="236.8"/>
    <n v="236.39999999999998"/>
    <n v="3250.5000000000005"/>
  </r>
  <r>
    <x v="2"/>
    <n v="2016"/>
    <s v="March"/>
    <x v="40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1675.2"/>
    <n v="387.9"/>
    <n v="372.4"/>
    <n v="240.2"/>
    <n v="239.89999999999998"/>
    <n v="3289.9"/>
  </r>
  <r>
    <x v="0"/>
    <n v="2016"/>
    <s v="April"/>
    <x v="41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m/>
    <n v="127"/>
    <n v="128"/>
    <n v="125.2"/>
    <n v="114.4"/>
    <n v="123.2"/>
    <n v="127.9"/>
    <n v="118.4"/>
    <n v="121.7"/>
    <n v="129"/>
    <n v="1701.6000000000004"/>
    <n v="400"/>
    <n v="255"/>
    <n v="243.60000000000002"/>
    <n v="244.9"/>
    <n v="3222.9000000000005"/>
  </r>
  <r>
    <x v="1"/>
    <n v="2016"/>
    <s v="April"/>
    <x v="41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706.3"/>
    <n v="373.1"/>
    <n v="363"/>
    <n v="237.6"/>
    <n v="237.7"/>
    <n v="3296.7999999999997"/>
  </r>
  <r>
    <x v="2"/>
    <n v="2016"/>
    <s v="April"/>
    <x v="41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1701.3"/>
    <n v="389.20000000000005"/>
    <n v="373.4"/>
    <n v="241.3"/>
    <n v="241.1"/>
    <n v="3323.2"/>
  </r>
  <r>
    <x v="0"/>
    <n v="2016"/>
    <s v="May"/>
    <x v="42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m/>
    <n v="127.4"/>
    <n v="128.5"/>
    <n v="125.8"/>
    <n v="115.1"/>
    <n v="123.6"/>
    <n v="129.1"/>
    <n v="119.7"/>
    <n v="122.5"/>
    <n v="130.30000000000001"/>
    <n v="1723.6999999999998"/>
    <n v="401.3"/>
    <n v="255.9"/>
    <n v="245.5"/>
    <n v="246.1"/>
    <n v="3252.7"/>
  </r>
  <r>
    <x v="1"/>
    <n v="2016"/>
    <s v="May"/>
    <x v="42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746.7999999999997"/>
    <n v="374.1"/>
    <n v="364.2"/>
    <n v="238.8"/>
    <n v="238.5"/>
    <n v="3343.2999999999997"/>
  </r>
  <r>
    <x v="2"/>
    <n v="2016"/>
    <s v="May"/>
    <x v="42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730.4"/>
    <n v="390.4"/>
    <n v="374.7"/>
    <n v="242.9"/>
    <n v="242.2"/>
    <n v="3359.6"/>
  </r>
  <r>
    <x v="0"/>
    <n v="2016"/>
    <s v="June"/>
    <x v="43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m/>
    <n v="128"/>
    <n v="129.30000000000001"/>
    <n v="126.2"/>
    <n v="116.3"/>
    <n v="124.1"/>
    <n v="130.19999999999999"/>
    <n v="119.9"/>
    <n v="123.3"/>
    <n v="131.9"/>
    <n v="1748.6"/>
    <n v="403.5"/>
    <n v="257.3"/>
    <n v="246.10000000000002"/>
    <n v="247.39999999999998"/>
    <n v="3286.6"/>
  </r>
  <r>
    <x v="1"/>
    <n v="2016"/>
    <s v="June"/>
    <x v="43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787.0000000000002"/>
    <n v="375.29999999999995"/>
    <n v="364.2"/>
    <n v="239.39999999999998"/>
    <n v="239.5"/>
    <n v="3389.7000000000003"/>
  </r>
  <r>
    <x v="2"/>
    <n v="2016"/>
    <s v="June"/>
    <x v="43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760.6"/>
    <n v="392.1"/>
    <n v="375.20000000000005"/>
    <n v="243.5"/>
    <n v="243.2"/>
    <n v="3397.2"/>
  </r>
  <r>
    <x v="0"/>
    <n v="2016"/>
    <s v="July"/>
    <x v="44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m/>
    <n v="128.19999999999999"/>
    <n v="130"/>
    <n v="126.7"/>
    <n v="116.4"/>
    <n v="125.2"/>
    <n v="130.80000000000001"/>
    <n v="120.9"/>
    <n v="123.8"/>
    <n v="133"/>
    <n v="1770.2999999999997"/>
    <n v="405.9"/>
    <n v="258.2"/>
    <n v="247.60000000000002"/>
    <n v="249"/>
    <n v="3316.2"/>
  </r>
  <r>
    <x v="1"/>
    <n v="2016"/>
    <s v="July"/>
    <x v="44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811.5000000000002"/>
    <n v="375.9"/>
    <n v="365.4"/>
    <n v="240.9"/>
    <n v="240.2"/>
    <n v="3419.3"/>
  </r>
  <r>
    <x v="2"/>
    <n v="2016"/>
    <s v="July"/>
    <x v="44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783.5"/>
    <n v="393.8"/>
    <n v="376.70000000000005"/>
    <n v="245"/>
    <n v="244.3"/>
    <n v="3427.3"/>
  </r>
  <r>
    <x v="0"/>
    <n v="2016"/>
    <s v="August"/>
    <x v="45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m/>
    <n v="129.1"/>
    <n v="130.6"/>
    <n v="127"/>
    <n v="116"/>
    <n v="125.5"/>
    <n v="131.9"/>
    <n v="122"/>
    <n v="124.2"/>
    <n v="133.5"/>
    <n v="1777.4999999999998"/>
    <n v="407.9"/>
    <n v="259.7"/>
    <n v="249"/>
    <n v="249.7"/>
    <n v="3330.5999999999995"/>
  </r>
  <r>
    <x v="1"/>
    <n v="2016"/>
    <s v="August"/>
    <x v="45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783.9999999999995"/>
    <n v="377"/>
    <n v="365.9"/>
    <n v="242.10000000000002"/>
    <n v="240.5"/>
    <n v="3394.9999999999995"/>
  </r>
  <r>
    <x v="2"/>
    <n v="2016"/>
    <s v="August"/>
    <x v="45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777.9"/>
    <n v="395.49999999999994"/>
    <n v="378.29999999999995"/>
    <n v="246.3"/>
    <n v="244.8"/>
    <n v="3427.8"/>
  </r>
  <r>
    <x v="0"/>
    <n v="2016"/>
    <s v="September"/>
    <x v="46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m/>
    <n v="129.69999999999999"/>
    <n v="131.1"/>
    <n v="127.8"/>
    <n v="117"/>
    <n v="125.7"/>
    <n v="132.19999999999999"/>
    <n v="122.8"/>
    <n v="124.9"/>
    <n v="133.4"/>
    <n v="1770.7"/>
    <n v="409.8"/>
    <n v="260.79999999999995"/>
    <n v="250.6"/>
    <n v="250.60000000000002"/>
    <n v="3331.6000000000004"/>
  </r>
  <r>
    <x v="1"/>
    <n v="2016"/>
    <s v="September"/>
    <x v="46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756.3999999999996"/>
    <n v="378"/>
    <n v="367"/>
    <n v="242.60000000000002"/>
    <n v="241.3"/>
    <n v="3372.6"/>
  </r>
  <r>
    <x v="2"/>
    <n v="2016"/>
    <s v="September"/>
    <x v="46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763.6999999999998"/>
    <n v="397"/>
    <n v="379.9"/>
    <n v="247.5"/>
    <n v="245.7"/>
    <n v="3420.8999999999996"/>
  </r>
  <r>
    <x v="0"/>
    <n v="2016"/>
    <s v="October"/>
    <x v="47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m/>
    <n v="129.80000000000001"/>
    <n v="131.80000000000001"/>
    <n v="128.69999999999999"/>
    <n v="117.8"/>
    <n v="126.5"/>
    <n v="133"/>
    <n v="123"/>
    <n v="125.7"/>
    <n v="133.80000000000001"/>
    <n v="1771.8000000000002"/>
    <n v="412.7"/>
    <n v="261.60000000000002"/>
    <n v="251.7"/>
    <n v="252.2"/>
    <n v="3341.6999999999994"/>
  </r>
  <r>
    <x v="1"/>
    <n v="2016"/>
    <s v="October"/>
    <x v="47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762.8999999999999"/>
    <n v="379"/>
    <n v="368.4"/>
    <n v="242.6"/>
    <n v="242.10000000000002"/>
    <n v="3383.9999999999995"/>
  </r>
  <r>
    <x v="2"/>
    <n v="2016"/>
    <s v="October"/>
    <x v="47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766.7999999999995"/>
    <n v="399.1"/>
    <n v="381.4"/>
    <n v="248.2"/>
    <n v="246.9"/>
    <n v="3431.7999999999993"/>
  </r>
  <r>
    <x v="0"/>
    <n v="2016"/>
    <s v="November"/>
    <x v="48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m/>
    <n v="130.30000000000001"/>
    <n v="132.1"/>
    <n v="129.1"/>
    <n v="118.2"/>
    <n v="126.9"/>
    <n v="133.69999999999999"/>
    <n v="123.5"/>
    <n v="126.1"/>
    <n v="133.6"/>
    <n v="1764.6"/>
    <n v="413.59999999999997"/>
    <n v="262.39999999999998"/>
    <n v="252.6"/>
    <n v="253"/>
    <n v="3339.2999999999997"/>
  </r>
  <r>
    <x v="1"/>
    <n v="2016"/>
    <s v="November"/>
    <x v="48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755.2"/>
    <n v="380.2"/>
    <n v="370"/>
    <n v="243.39999999999998"/>
    <n v="243"/>
    <n v="3381.6"/>
  </r>
  <r>
    <x v="2"/>
    <n v="2016"/>
    <s v="November"/>
    <x v="48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759.8"/>
    <n v="400.1"/>
    <n v="382.7"/>
    <n v="249"/>
    <n v="247.8"/>
    <n v="3429.9"/>
  </r>
  <r>
    <x v="0"/>
    <n v="2016"/>
    <s v="December"/>
    <x v="49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m/>
    <n v="132"/>
    <n v="132.9"/>
    <n v="129.69999999999999"/>
    <n v="118.6"/>
    <n v="127.3"/>
    <n v="134.19999999999999"/>
    <n v="121.9"/>
    <n v="126.3"/>
    <n v="132.80000000000001"/>
    <n v="1749.1"/>
    <n v="415.3"/>
    <n v="264.89999999999998"/>
    <n v="251.6"/>
    <n v="253.6"/>
    <n v="3329.7"/>
  </r>
  <r>
    <x v="1"/>
    <n v="2016"/>
    <s v="December"/>
    <x v="49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729.8"/>
    <n v="381"/>
    <n v="371.3"/>
    <n v="242.2"/>
    <n v="243.2"/>
    <n v="3358.5"/>
  </r>
  <r>
    <x v="2"/>
    <n v="2016"/>
    <s v="December"/>
    <x v="49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740.7"/>
    <n v="401.5"/>
    <n v="384.29999999999995"/>
    <n v="248"/>
    <n v="248.10000000000002"/>
    <n v="3414.7999999999997"/>
  </r>
  <r>
    <x v="0"/>
    <n v="2017"/>
    <s v="January"/>
    <x v="5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m/>
    <n v="132.1"/>
    <n v="133.19999999999999"/>
    <n v="129.9"/>
    <n v="119.1"/>
    <n v="127"/>
    <n v="134.6"/>
    <n v="122.3"/>
    <n v="126.6"/>
    <n v="132.4"/>
    <n v="1737.3000000000002"/>
    <n v="416.5"/>
    <n v="265.29999999999995"/>
    <n v="252.2"/>
    <n v="253.6"/>
    <n v="3321.7000000000003"/>
  </r>
  <r>
    <x v="1"/>
    <n v="2017"/>
    <s v="January"/>
    <x v="5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713.2"/>
    <n v="381.5"/>
    <n v="372.7"/>
    <n v="243.5"/>
    <n v="244.1"/>
    <n v="3348.2"/>
  </r>
  <r>
    <x v="2"/>
    <n v="2017"/>
    <s v="January"/>
    <x v="5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727.2999999999995"/>
    <n v="402.4"/>
    <n v="385.79999999999995"/>
    <n v="248.8"/>
    <n v="248.60000000000002"/>
    <n v="3406.9999999999995"/>
  </r>
  <r>
    <x v="0"/>
    <n v="2017"/>
    <s v="February"/>
    <x v="5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m/>
    <n v="133.19999999999999"/>
    <n v="133.6"/>
    <n v="130.1"/>
    <n v="119.5"/>
    <n v="127.7"/>
    <n v="134.9"/>
    <n v="123.2"/>
    <n v="127"/>
    <n v="132.6"/>
    <n v="1734.5000000000002"/>
    <n v="416.90000000000003"/>
    <n v="266.79999999999995"/>
    <n v="253.3"/>
    <n v="254.7"/>
    <n v="3324.3"/>
  </r>
  <r>
    <x v="1"/>
    <n v="2017"/>
    <s v="February"/>
    <x v="5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705.3000000000002"/>
    <n v="382.3"/>
    <n v="375"/>
    <n v="244.60000000000002"/>
    <n v="244.60000000000002"/>
    <n v="3346"/>
  </r>
  <r>
    <x v="2"/>
    <n v="2017"/>
    <s v="February"/>
    <x v="5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722.3000000000002"/>
    <n v="403"/>
    <n v="388.09999999999997"/>
    <n v="250"/>
    <n v="249.39999999999998"/>
    <n v="3408"/>
  </r>
  <r>
    <x v="0"/>
    <n v="2017"/>
    <s v="March"/>
    <x v="5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m/>
    <n v="134.19999999999999"/>
    <n v="134.1"/>
    <n v="130.6"/>
    <n v="119.8"/>
    <n v="128.30000000000001"/>
    <n v="135.19999999999999"/>
    <n v="123.3"/>
    <n v="127.4"/>
    <n v="132.80000000000001"/>
    <n v="1728.5000000000002"/>
    <n v="418.59999999999997"/>
    <n v="268.29999999999995"/>
    <n v="253.89999999999998"/>
    <n v="255.70000000000002"/>
    <n v="3324.2000000000003"/>
  </r>
  <r>
    <x v="1"/>
    <n v="2017"/>
    <s v="March"/>
    <x v="5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705.6999999999998"/>
    <n v="383.20000000000005"/>
    <n v="377.5"/>
    <n v="244.8"/>
    <n v="245"/>
    <n v="3352.1000000000004"/>
  </r>
  <r>
    <x v="2"/>
    <n v="2017"/>
    <s v="March"/>
    <x v="5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718.9"/>
    <n v="404.29999999999995"/>
    <n v="390.29999999999995"/>
    <n v="250.39999999999998"/>
    <n v="250.1"/>
    <n v="3410.5"/>
  </r>
  <r>
    <x v="0"/>
    <n v="2017"/>
    <s v="April"/>
    <x v="5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m/>
    <n v="135"/>
    <n v="134.30000000000001"/>
    <n v="131"/>
    <n v="119.2"/>
    <n v="128.30000000000001"/>
    <n v="135.69999999999999"/>
    <n v="123.7"/>
    <n v="127.5"/>
    <n v="132.9"/>
    <n v="1726.3"/>
    <n v="420.80000000000007"/>
    <n v="269.3"/>
    <n v="254.7"/>
    <n v="255.8"/>
    <n v="3326.2000000000003"/>
  </r>
  <r>
    <x v="1"/>
    <n v="2017"/>
    <s v="April"/>
    <x v="5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708.1"/>
    <n v="384.2"/>
    <n v="379.1"/>
    <n v="245.60000000000002"/>
    <n v="245.1"/>
    <n v="3357.9999999999995"/>
  </r>
  <r>
    <x v="2"/>
    <n v="2017"/>
    <s v="April"/>
    <x v="5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718.4"/>
    <n v="406.1"/>
    <n v="391.9"/>
    <n v="251.2"/>
    <n v="250.2"/>
    <n v="3414.2999999999997"/>
  </r>
  <r>
    <x v="0"/>
    <n v="2017"/>
    <s v="May"/>
    <x v="5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m/>
    <n v="135"/>
    <n v="134.9"/>
    <n v="131.4"/>
    <n v="119.4"/>
    <n v="129.4"/>
    <n v="136.30000000000001"/>
    <n v="123.7"/>
    <n v="127.9"/>
    <n v="133.30000000000001"/>
    <n v="1727.4999999999995"/>
    <n v="421.6"/>
    <n v="269.89999999999998"/>
    <n v="255.10000000000002"/>
    <n v="257.3"/>
    <n v="3332.5999999999995"/>
  </r>
  <r>
    <x v="1"/>
    <n v="2017"/>
    <s v="May"/>
    <x v="5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709.6"/>
    <n v="384.9"/>
    <n v="378.7"/>
    <n v="245.6"/>
    <n v="245.39999999999998"/>
    <n v="3360.6"/>
  </r>
  <r>
    <x v="2"/>
    <n v="2017"/>
    <s v="May"/>
    <x v="5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719.6000000000001"/>
    <n v="406.8"/>
    <n v="392.4"/>
    <n v="251.4"/>
    <n v="251"/>
    <n v="3418.9000000000005"/>
  </r>
  <r>
    <x v="0"/>
    <n v="2017"/>
    <s v="June"/>
    <x v="5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m/>
    <n v="134.80000000000001"/>
    <n v="135.19999999999999"/>
    <n v="131.30000000000001"/>
    <n v="119.4"/>
    <n v="129.80000000000001"/>
    <n v="136.9"/>
    <n v="124.1"/>
    <n v="128.1"/>
    <n v="133.9"/>
    <n v="1738.8000000000002"/>
    <n v="423.09999999999997"/>
    <n v="270"/>
    <n v="255.4"/>
    <n v="257.89999999999998"/>
    <n v="3347.3"/>
  </r>
  <r>
    <x v="1"/>
    <n v="2017"/>
    <s v="June"/>
    <x v="5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731.0000000000002"/>
    <n v="384.9"/>
    <n v="377.2"/>
    <n v="246.3"/>
    <n v="245.60000000000002"/>
    <n v="3381.8"/>
  </r>
  <r>
    <x v="2"/>
    <n v="2017"/>
    <s v="June"/>
    <x v="5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734.7"/>
    <n v="407.7"/>
    <n v="391.40000000000003"/>
    <n v="251.9"/>
    <n v="251.4"/>
    <n v="3435.5"/>
  </r>
  <r>
    <x v="0"/>
    <n v="2017"/>
    <s v="July"/>
    <x v="5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m/>
    <n v="135.30000000000001"/>
    <n v="136.1"/>
    <n v="132.1"/>
    <n v="119.1"/>
    <n v="130.6"/>
    <n v="138.6"/>
    <n v="124.4"/>
    <n v="128.6"/>
    <n v="136.19999999999999"/>
    <n v="1772.9"/>
    <n v="425.9"/>
    <n v="271.39999999999998"/>
    <n v="256.5"/>
    <n v="259.2"/>
    <n v="3391"/>
  </r>
  <r>
    <x v="1"/>
    <n v="2017"/>
    <s v="July"/>
    <x v="5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768.1"/>
    <n v="385.70000000000005"/>
    <n v="379.5"/>
    <n v="247.4"/>
    <n v="246.5"/>
    <n v="3426.4"/>
  </r>
  <r>
    <x v="2"/>
    <n v="2017"/>
    <s v="July"/>
    <x v="5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769.3999999999999"/>
    <n v="409.7"/>
    <n v="393.9"/>
    <n v="253"/>
    <n v="252.5"/>
    <n v="3479.4999999999995"/>
  </r>
  <r>
    <x v="0"/>
    <n v="2017"/>
    <s v="August"/>
    <x v="5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m/>
    <n v="136.4"/>
    <n v="137.30000000000001"/>
    <n v="133"/>
    <n v="120.3"/>
    <n v="131.5"/>
    <n v="140.19999999999999"/>
    <n v="125.4"/>
    <n v="129.69999999999999"/>
    <n v="137.80000000000001"/>
    <n v="1792.4999999999998"/>
    <n v="429"/>
    <n v="273.70000000000005"/>
    <n v="258.39999999999998"/>
    <n v="261.2"/>
    <n v="3424.2999999999997"/>
  </r>
  <r>
    <x v="1"/>
    <n v="2017"/>
    <s v="August"/>
    <x v="5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772.9999999999998"/>
    <n v="388.4"/>
    <n v="381"/>
    <n v="249"/>
    <n v="247.89999999999998"/>
    <n v="3441.7"/>
  </r>
  <r>
    <x v="2"/>
    <n v="2017"/>
    <s v="August"/>
    <x v="5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783.8"/>
    <n v="412.6"/>
    <n v="397.00000000000006"/>
    <n v="254.7"/>
    <n v="254.1"/>
    <n v="3506.8999999999996"/>
  </r>
  <r>
    <x v="0"/>
    <n v="2017"/>
    <s v="September"/>
    <x v="5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m/>
    <n v="137.4"/>
    <n v="137.9"/>
    <n v="133.4"/>
    <n v="121.2"/>
    <n v="132.30000000000001"/>
    <n v="139.6"/>
    <n v="126.7"/>
    <n v="130.30000000000001"/>
    <n v="137.6"/>
    <n v="1784.3"/>
    <n v="430.99999999999994"/>
    <n v="275.3"/>
    <n v="260.10000000000002"/>
    <n v="262.60000000000002"/>
    <n v="3423.9"/>
  </r>
  <r>
    <x v="1"/>
    <n v="2017"/>
    <s v="September"/>
    <x v="5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749.7"/>
    <n v="389.9"/>
    <n v="384.4"/>
    <n v="250.5"/>
    <n v="249"/>
    <n v="3428.7000000000003"/>
  </r>
  <r>
    <x v="2"/>
    <n v="2017"/>
    <s v="September"/>
    <x v="5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769.9999999999998"/>
    <n v="414.5"/>
    <n v="400"/>
    <n v="256.3"/>
    <n v="255.4"/>
    <n v="3502.7000000000003"/>
  </r>
  <r>
    <x v="0"/>
    <n v="2017"/>
    <s v="October"/>
    <x v="5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m/>
    <n v="138.1"/>
    <n v="138.4"/>
    <n v="134.19999999999999"/>
    <n v="121"/>
    <n v="133"/>
    <n v="140.1"/>
    <n v="127.4"/>
    <n v="130.69999999999999"/>
    <n v="138.30000000000001"/>
    <n v="1790.8999999999999"/>
    <n v="433.99999999999994"/>
    <n v="276.5"/>
    <n v="261.60000000000002"/>
    <n v="263.7"/>
    <n v="3438.2999999999997"/>
  </r>
  <r>
    <x v="1"/>
    <n v="2017"/>
    <s v="October"/>
    <x v="5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765.6999999999998"/>
    <n v="391.5"/>
    <n v="388.2"/>
    <n v="251.2"/>
    <n v="249.3"/>
    <n v="3451.7999999999997"/>
  </r>
  <r>
    <x v="2"/>
    <n v="2017"/>
    <s v="October"/>
    <x v="5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779.6999999999998"/>
    <n v="416.90000000000003"/>
    <n v="403.1"/>
    <n v="257.5"/>
    <n v="256.10000000000002"/>
    <n v="3520.6"/>
  </r>
  <r>
    <x v="0"/>
    <n v="2017"/>
    <s v="November"/>
    <x v="6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m/>
    <n v="141.1"/>
    <n v="139.4"/>
    <n v="135.80000000000001"/>
    <n v="121.6"/>
    <n v="133.69999999999999"/>
    <n v="141.5"/>
    <n v="128.1"/>
    <n v="131.69999999999999"/>
    <n v="140"/>
    <n v="1817.7000000000003"/>
    <n v="437"/>
    <n v="280.5"/>
    <n v="263.89999999999998"/>
    <n v="265.39999999999998"/>
    <n v="3479.7000000000003"/>
  </r>
  <r>
    <x v="1"/>
    <n v="2017"/>
    <s v="November"/>
    <x v="6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796.7"/>
    <n v="393.9"/>
    <n v="393.1"/>
    <n v="252.3"/>
    <n v="250"/>
    <n v="3494.1000000000004"/>
  </r>
  <r>
    <x v="2"/>
    <n v="2017"/>
    <s v="November"/>
    <x v="6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808.2"/>
    <n v="419.6"/>
    <n v="408.29999999999995"/>
    <n v="259.39999999999998"/>
    <n v="257.3"/>
    <n v="3562.9"/>
  </r>
  <r>
    <x v="0"/>
    <n v="2017"/>
    <s v="December"/>
    <x v="6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m/>
    <n v="142.6"/>
    <n v="139.5"/>
    <n v="136.1"/>
    <n v="122"/>
    <n v="133.4"/>
    <n v="141.1"/>
    <n v="127.8"/>
    <n v="131.9"/>
    <n v="139.80000000000001"/>
    <n v="1813.6000000000001"/>
    <n v="437.09999999999997"/>
    <n v="282.10000000000002"/>
    <n v="263.89999999999998"/>
    <n v="265.3"/>
    <n v="3478.3"/>
  </r>
  <r>
    <x v="1"/>
    <n v="2017"/>
    <s v="December"/>
    <x v="6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767.5"/>
    <n v="395.2"/>
    <n v="395.2"/>
    <n v="252.79999999999998"/>
    <n v="250.7"/>
    <n v="3470.3999999999996"/>
  </r>
  <r>
    <x v="2"/>
    <n v="2017"/>
    <s v="December"/>
    <x v="6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794.9999999999998"/>
    <n v="420.2"/>
    <n v="410.4"/>
    <n v="259.60000000000002"/>
    <n v="257.60000000000002"/>
    <n v="3553.9999999999995"/>
  </r>
  <r>
    <x v="0"/>
    <n v="2018"/>
    <s v="January"/>
    <x v="62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m/>
    <n v="142.30000000000001"/>
    <n v="139.80000000000001"/>
    <n v="136"/>
    <n v="122.7"/>
    <n v="134.30000000000001"/>
    <n v="141.6"/>
    <n v="128.6"/>
    <n v="132.30000000000001"/>
    <n v="139.30000000000001"/>
    <n v="1800.7"/>
    <n v="438.1"/>
    <n v="282.10000000000002"/>
    <n v="264.60000000000002"/>
    <n v="266.60000000000002"/>
    <n v="3469.9999999999995"/>
  </r>
  <r>
    <x v="1"/>
    <n v="2018"/>
    <s v="January"/>
    <x v="62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748.3000000000002"/>
    <n v="396.29999999999995"/>
    <n v="397.2"/>
    <n v="254.5"/>
    <n v="252"/>
    <n v="3459.3999999999996"/>
  </r>
  <r>
    <x v="2"/>
    <n v="2018"/>
    <s v="January"/>
    <x v="62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779.9"/>
    <n v="421.3"/>
    <n v="411.9"/>
    <n v="260.60000000000002"/>
    <n v="258.79999999999995"/>
    <n v="3545.5"/>
  </r>
  <r>
    <x v="0"/>
    <n v="2018"/>
    <s v="February"/>
    <x v="63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m/>
    <n v="142.4"/>
    <n v="139.9"/>
    <n v="136.19999999999999"/>
    <n v="123.3"/>
    <n v="134.30000000000001"/>
    <n v="141.5"/>
    <n v="128.80000000000001"/>
    <n v="132.5"/>
    <n v="138.5"/>
    <n v="1781.5"/>
    <n v="438.90000000000003"/>
    <n v="282.3"/>
    <n v="265"/>
    <n v="266.8"/>
    <n v="3452.6000000000004"/>
  </r>
  <r>
    <x v="1"/>
    <n v="2018"/>
    <s v="February"/>
    <x v="63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727.9"/>
    <n v="397.09999999999997"/>
    <n v="398.5"/>
    <n v="256"/>
    <n v="253"/>
    <n v="3446.4"/>
  </r>
  <r>
    <x v="2"/>
    <n v="2018"/>
    <s v="February"/>
    <x v="63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760.3999999999996"/>
    <n v="422"/>
    <n v="413.2"/>
    <n v="261.5"/>
    <n v="259.5"/>
    <n v="3530.6999999999994"/>
  </r>
  <r>
    <x v="0"/>
    <n v="2018"/>
    <s v="March"/>
    <x v="64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m/>
    <n v="142.6"/>
    <n v="139.9"/>
    <n v="136.69999999999999"/>
    <n v="124.6"/>
    <n v="135.1"/>
    <n v="142.69999999999999"/>
    <n v="129.30000000000001"/>
    <n v="133.30000000000001"/>
    <n v="138.69999999999999"/>
    <n v="1781.9999999999998"/>
    <n v="440.5"/>
    <n v="282.5"/>
    <n v="266"/>
    <n v="268.39999999999998"/>
    <n v="3461.7999999999997"/>
  </r>
  <r>
    <x v="1"/>
    <n v="2018"/>
    <s v="March"/>
    <x v="64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715.5"/>
    <n v="398.59999999999997"/>
    <n v="399.2"/>
    <n v="257.2"/>
    <n v="253.89999999999998"/>
    <n v="3439.7"/>
  </r>
  <r>
    <x v="2"/>
    <n v="2018"/>
    <s v="March"/>
    <x v="64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756"/>
    <n v="423.6"/>
    <n v="414.1"/>
    <n v="262.5"/>
    <n v="260.70000000000005"/>
    <n v="3534"/>
  </r>
  <r>
    <x v="0"/>
    <n v="2018"/>
    <s v="April"/>
    <x v="65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m/>
    <n v="143.80000000000001"/>
    <n v="140.9"/>
    <n v="137.6"/>
    <n v="125.3"/>
    <n v="136"/>
    <n v="143.69999999999999"/>
    <n v="130.4"/>
    <n v="134.19999999999999"/>
    <n v="139.1"/>
    <n v="1780"/>
    <n v="442.5"/>
    <n v="284.70000000000005"/>
    <n v="268"/>
    <n v="270.2"/>
    <n v="3470.5"/>
  </r>
  <r>
    <x v="1"/>
    <n v="2018"/>
    <s v="April"/>
    <x v="65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720.0000000000002"/>
    <n v="401.40000000000003"/>
    <n v="399.3"/>
    <n v="258.89999999999998"/>
    <n v="255.79999999999998"/>
    <n v="3453.2000000000007"/>
  </r>
  <r>
    <x v="2"/>
    <n v="2018"/>
    <s v="April"/>
    <x v="65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757.1000000000001"/>
    <n v="426"/>
    <n v="416"/>
    <n v="264.39999999999998"/>
    <n v="262.60000000000002"/>
    <n v="3546.3"/>
  </r>
  <r>
    <x v="0"/>
    <n v="2018"/>
    <s v="May"/>
    <x v="66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m/>
    <n v="144.30000000000001"/>
    <n v="141.80000000000001"/>
    <n v="138.4"/>
    <n v="126.4"/>
    <n v="136.80000000000001"/>
    <n v="144.4"/>
    <n v="131.19999999999999"/>
    <n v="135.1"/>
    <n v="139.80000000000001"/>
    <n v="1782.4"/>
    <n v="444.7"/>
    <n v="286.10000000000002"/>
    <n v="269.60000000000002"/>
    <n v="271.89999999999998"/>
    <n v="3482.4999999999995"/>
  </r>
  <r>
    <x v="1"/>
    <n v="2018"/>
    <s v="May"/>
    <x v="66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722.8999999999999"/>
    <n v="403.5"/>
    <n v="400.4"/>
    <n v="260.10000000000002"/>
    <n v="256.89999999999998"/>
    <n v="3464.2999999999997"/>
  </r>
  <r>
    <x v="2"/>
    <n v="2018"/>
    <s v="May"/>
    <x v="66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759.8"/>
    <n v="428.09999999999997"/>
    <n v="417.5"/>
    <n v="265.89999999999998"/>
    <n v="263.89999999999998"/>
    <n v="3558.1"/>
  </r>
  <r>
    <x v="0"/>
    <n v="2018"/>
    <s v="June"/>
    <x v="67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m/>
    <n v="145.1"/>
    <n v="142.19999999999999"/>
    <n v="138.4"/>
    <n v="127.4"/>
    <n v="137.80000000000001"/>
    <n v="145.1"/>
    <n v="131.4"/>
    <n v="135.6"/>
    <n v="140.5"/>
    <n v="1790.2999999999997"/>
    <n v="446.3"/>
    <n v="287.29999999999995"/>
    <n v="269.8"/>
    <n v="273.39999999999998"/>
    <n v="3496.9"/>
  </r>
  <r>
    <x v="1"/>
    <n v="2018"/>
    <s v="June"/>
    <x v="67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747.3000000000002"/>
    <n v="405"/>
    <n v="402.1"/>
    <n v="260.79999999999995"/>
    <n v="258"/>
    <n v="3495.8"/>
  </r>
  <r>
    <x v="2"/>
    <n v="2018"/>
    <s v="June"/>
    <x v="67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774.1000000000001"/>
    <n v="429.7"/>
    <n v="418.5"/>
    <n v="266.29999999999995"/>
    <n v="265.2"/>
    <n v="3578.5999999999995"/>
  </r>
  <r>
    <x v="0"/>
    <n v="2018"/>
    <s v="July"/>
    <x v="68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m/>
    <n v="146.80000000000001"/>
    <n v="143.1"/>
    <n v="139"/>
    <n v="127.5"/>
    <n v="138.4"/>
    <n v="145.80000000000001"/>
    <n v="131.4"/>
    <n v="136"/>
    <n v="141.80000000000001"/>
    <n v="1810.5000000000002"/>
    <n v="447.20000000000005"/>
    <n v="289.89999999999998"/>
    <n v="270.39999999999998"/>
    <n v="274.39999999999998"/>
    <n v="3521.8000000000006"/>
  </r>
  <r>
    <x v="1"/>
    <n v="2018"/>
    <s v="July"/>
    <x v="68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771.1"/>
    <n v="406.4"/>
    <n v="405.29999999999995"/>
    <n v="261.79999999999995"/>
    <n v="259.2"/>
    <n v="3529.3"/>
  </r>
  <r>
    <x v="2"/>
    <n v="2018"/>
    <s v="July"/>
    <x v="68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795.3"/>
    <n v="430.80000000000007"/>
    <n v="421.9"/>
    <n v="267.10000000000002"/>
    <n v="266.29999999999995"/>
    <n v="3607.2"/>
  </r>
  <r>
    <x v="0"/>
    <n v="2018"/>
    <s v="August"/>
    <x v="69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m/>
    <n v="147.69999999999999"/>
    <n v="143.80000000000001"/>
    <n v="139.4"/>
    <n v="128.30000000000001"/>
    <n v="138.6"/>
    <n v="146.9"/>
    <n v="131.30000000000001"/>
    <n v="136.6"/>
    <n v="142.5"/>
    <n v="1818.8"/>
    <n v="449.2"/>
    <n v="291.5"/>
    <n v="270.70000000000005"/>
    <n v="275.2"/>
    <n v="3537"/>
  </r>
  <r>
    <x v="1"/>
    <n v="2018"/>
    <s v="August"/>
    <x v="69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767.6"/>
    <n v="407.3"/>
    <n v="408.79999999999995"/>
    <n v="263.20000000000005"/>
    <n v="260.8"/>
    <n v="3535.8"/>
  </r>
  <r>
    <x v="2"/>
    <n v="2018"/>
    <s v="August"/>
    <x v="69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798.7000000000003"/>
    <n v="432.20000000000005"/>
    <n v="424.9"/>
    <n v="267.79999999999995"/>
    <n v="267.5"/>
    <n v="3619.3"/>
  </r>
  <r>
    <x v="0"/>
    <n v="2018"/>
    <s v="September"/>
    <x v="70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m/>
    <n v="149"/>
    <n v="144"/>
    <n v="140"/>
    <n v="129.9"/>
    <n v="140"/>
    <n v="147.6"/>
    <n v="132"/>
    <n v="137.4"/>
    <n v="142.1"/>
    <n v="1799.8000000000002"/>
    <n v="449.5"/>
    <n v="293"/>
    <n v="272"/>
    <n v="277.39999999999998"/>
    <n v="3526.9"/>
  </r>
  <r>
    <x v="1"/>
    <n v="2018"/>
    <s v="September"/>
    <x v="70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748.4"/>
    <n v="409.20000000000005"/>
    <n v="411.4"/>
    <n v="265"/>
    <n v="262.10000000000002"/>
    <n v="3527.1000000000004"/>
  </r>
  <r>
    <x v="2"/>
    <n v="2018"/>
    <s v="September"/>
    <x v="70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779.5"/>
    <n v="433.29999999999995"/>
    <n v="427.3"/>
    <n v="269.3"/>
    <n v="269.2"/>
    <n v="3610"/>
  </r>
  <r>
    <x v="0"/>
    <n v="2018"/>
    <s v="October"/>
    <x v="71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m/>
    <n v="149.69999999999999"/>
    <n v="147.5"/>
    <n v="144.80000000000001"/>
    <n v="130.80000000000001"/>
    <n v="140.1"/>
    <n v="148"/>
    <n v="134.4"/>
    <n v="139.80000000000001"/>
    <n v="142.19999999999999"/>
    <n v="1782.2"/>
    <n v="445"/>
    <n v="297.2"/>
    <n v="279.20000000000005"/>
    <n v="279.89999999999998"/>
    <n v="3521.9"/>
  </r>
  <r>
    <x v="1"/>
    <n v="2018"/>
    <s v="October"/>
    <x v="71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754.1"/>
    <n v="411"/>
    <n v="414.80000000000007"/>
    <n v="266.60000000000002"/>
    <n v="263.2"/>
    <n v="3542.5"/>
  </r>
  <r>
    <x v="2"/>
    <n v="2018"/>
    <s v="October"/>
    <x v="71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776.2"/>
    <n v="434"/>
    <n v="434.40000000000003"/>
    <n v="274.10000000000002"/>
    <n v="272.8"/>
    <n v="3627.4"/>
  </r>
  <r>
    <x v="0"/>
    <n v="2018"/>
    <s v="November"/>
    <x v="72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m/>
    <n v="150.30000000000001"/>
    <n v="148"/>
    <n v="145.4"/>
    <n v="130.30000000000001"/>
    <n v="143.1"/>
    <n v="150.19999999999999"/>
    <n v="133.1"/>
    <n v="140.1"/>
    <n v="142.4"/>
    <n v="1787.4999999999995"/>
    <n v="448"/>
    <n v="298.3"/>
    <n v="278.5"/>
    <n v="283.2"/>
    <n v="3537.8999999999996"/>
  </r>
  <r>
    <x v="1"/>
    <n v="2018"/>
    <s v="November"/>
    <x v="72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757.4999999999998"/>
    <n v="413.1"/>
    <n v="419.40000000000003"/>
    <n v="267.3"/>
    <n v="263.5"/>
    <n v="3552.5"/>
  </r>
  <r>
    <x v="2"/>
    <n v="2018"/>
    <s v="November"/>
    <x v="72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775.7000000000003"/>
    <n v="433.8"/>
    <n v="434.2"/>
    <n v="274.10000000000002"/>
    <n v="272.8"/>
    <n v="3626.5000000000005"/>
  </r>
  <r>
    <x v="0"/>
    <n v="2018"/>
    <s v="December"/>
    <x v="73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m/>
    <n v="149"/>
    <n v="149.5"/>
    <n v="149.6"/>
    <n v="128.9"/>
    <n v="143.30000000000001"/>
    <n v="155.1"/>
    <n v="133.19999999999999"/>
    <n v="141.6"/>
    <n v="141.9"/>
    <n v="1773.1000000000001"/>
    <n v="448.3"/>
    <n v="298.5"/>
    <n v="282.79999999999995"/>
    <n v="284.89999999999998"/>
    <n v="3534.0000000000005"/>
  </r>
  <r>
    <x v="1"/>
    <n v="2018"/>
    <s v="December"/>
    <x v="73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746.6"/>
    <n v="413.8"/>
    <n v="415.09999999999997"/>
    <n v="268.10000000000002"/>
    <n v="263.39999999999998"/>
    <n v="3536.9"/>
  </r>
  <r>
    <x v="2"/>
    <n v="2018"/>
    <s v="December"/>
    <x v="73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762.7999999999997"/>
    <n v="434.3"/>
    <n v="432.4"/>
    <n v="277.10000000000002"/>
    <n v="273.60000000000002"/>
    <n v="3616.9"/>
  </r>
  <r>
    <x v="0"/>
    <n v="2019"/>
    <s v="January"/>
    <x v="74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m/>
    <n v="146.19999999999999"/>
    <n v="150.1"/>
    <n v="149.6"/>
    <n v="128.6"/>
    <n v="142.9"/>
    <n v="155.19999999999999"/>
    <n v="133.5"/>
    <n v="141.69999999999999"/>
    <n v="141"/>
    <n v="1759.6000000000001"/>
    <n v="445.6"/>
    <n v="296.29999999999995"/>
    <n v="283.10000000000002"/>
    <n v="284.60000000000002"/>
    <n v="3515.7"/>
  </r>
  <r>
    <x v="1"/>
    <n v="2019"/>
    <s v="January"/>
    <x v="74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744.3000000000002"/>
    <n v="414.5"/>
    <n v="412.59999999999997"/>
    <n v="269.5"/>
    <n v="263.70000000000005"/>
    <n v="3534.5"/>
  </r>
  <r>
    <x v="2"/>
    <n v="2019"/>
    <s v="January"/>
    <x v="74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753.3999999999999"/>
    <n v="433"/>
    <n v="430.79999999999995"/>
    <n v="277.89999999999998"/>
    <n v="273.60000000000002"/>
    <n v="3605.3999999999996"/>
  </r>
  <r>
    <x v="0"/>
    <n v="2019"/>
    <s v="February"/>
    <x v="75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m/>
    <n v="145.30000000000001"/>
    <n v="150.1"/>
    <n v="149.9"/>
    <n v="129.19999999999999"/>
    <n v="143.4"/>
    <n v="155.5"/>
    <n v="134.9"/>
    <n v="142.19999999999999"/>
    <n v="141"/>
    <n v="1759.8000000000002"/>
    <n v="446.5"/>
    <n v="295.39999999999998"/>
    <n v="284.8"/>
    <n v="285.60000000000002"/>
    <n v="3519.6000000000004"/>
  </r>
  <r>
    <x v="1"/>
    <n v="2019"/>
    <s v="February"/>
    <x v="75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754.4"/>
    <n v="415.5"/>
    <n v="412.20000000000005"/>
    <n v="271.5"/>
    <n v="264.60000000000002"/>
    <n v="3548.9"/>
  </r>
  <r>
    <x v="2"/>
    <n v="2019"/>
    <s v="February"/>
    <x v="75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757.1"/>
    <n v="433.9"/>
    <n v="430.59999999999997"/>
    <n v="279.7"/>
    <n v="274.5"/>
    <n v="3613.3999999999996"/>
  </r>
  <r>
    <x v="0"/>
    <n v="2019"/>
    <s v="March"/>
    <x v="76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m/>
    <n v="146.4"/>
    <n v="150"/>
    <n v="150.4"/>
    <n v="129.9"/>
    <n v="143.80000000000001"/>
    <n v="155.5"/>
    <n v="134"/>
    <n v="142.4"/>
    <n v="141.19999999999999"/>
    <n v="1761.2000000000003"/>
    <n v="447"/>
    <n v="296.39999999999998"/>
    <n v="284.39999999999998"/>
    <n v="286.20000000000005"/>
    <n v="3523.5000000000009"/>
  </r>
  <r>
    <x v="1"/>
    <n v="2019"/>
    <s v="March"/>
    <x v="76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768.4"/>
    <n v="416.29999999999995"/>
    <n v="414.6"/>
    <n v="271.7"/>
    <n v="265.8"/>
    <n v="3568.7000000000003"/>
  </r>
  <r>
    <x v="2"/>
    <n v="2019"/>
    <s v="March"/>
    <x v="76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762.9"/>
    <n v="434.5"/>
    <n v="432.5"/>
    <n v="279.60000000000002"/>
    <n v="275.39999999999998"/>
    <n v="3623.3"/>
  </r>
  <r>
    <x v="0"/>
    <n v="2019"/>
    <s v="May"/>
    <x v="77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m/>
    <n v="146.9"/>
    <n v="149.5"/>
    <n v="151.30000000000001"/>
    <n v="130.19999999999999"/>
    <n v="145.9"/>
    <n v="156.69999999999999"/>
    <n v="133.9"/>
    <n v="142.9"/>
    <n v="142.4"/>
    <n v="1782.1000000000001"/>
    <n v="448.59999999999997"/>
    <n v="296.39999999999998"/>
    <n v="285.20000000000005"/>
    <n v="288.8"/>
    <n v="3551.3"/>
  </r>
  <r>
    <x v="1"/>
    <n v="2019"/>
    <s v="May"/>
    <x v="77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811.5000000000002"/>
    <n v="417.9"/>
    <n v="416.7"/>
    <n v="272.39999999999998"/>
    <n v="267.3"/>
    <n v="3620.1000000000004"/>
  </r>
  <r>
    <x v="2"/>
    <n v="2019"/>
    <s v="May"/>
    <x v="77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791.9000000000003"/>
    <n v="436.1"/>
    <n v="434.09999999999997"/>
    <n v="280.3"/>
    <n v="277.39999999999998"/>
    <n v="3660.4000000000005"/>
  </r>
  <r>
    <x v="0"/>
    <n v="2019"/>
    <s v="June"/>
    <x v="78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m/>
    <n v="147.80000000000001"/>
    <n v="149.6"/>
    <n v="151.69999999999999"/>
    <n v="130.19999999999999"/>
    <n v="146.4"/>
    <n v="157.69999999999999"/>
    <n v="134.80000000000001"/>
    <n v="143.30000000000001"/>
    <n v="143.6"/>
    <n v="1804.1999999999998"/>
    <n v="448.59999999999997"/>
    <n v="297.39999999999998"/>
    <n v="286.5"/>
    <n v="289.70000000000005"/>
    <n v="3578.5"/>
  </r>
  <r>
    <x v="1"/>
    <n v="2019"/>
    <s v="June"/>
    <x v="78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833.2999999999997"/>
    <n v="418.4"/>
    <n v="417.29999999999995"/>
    <n v="274"/>
    <n v="267.89999999999998"/>
    <n v="3646.1"/>
  </r>
  <r>
    <x v="2"/>
    <n v="2019"/>
    <s v="June"/>
    <x v="78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814.1000000000001"/>
    <n v="436.4"/>
    <n v="434.40000000000003"/>
    <n v="281.70000000000005"/>
    <n v="278.2"/>
    <n v="3686.8"/>
  </r>
  <r>
    <x v="0"/>
    <n v="2019"/>
    <s v="July"/>
    <x v="79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m/>
    <n v="146.80000000000001"/>
    <n v="150"/>
    <n v="152.19999999999999"/>
    <n v="131.19999999999999"/>
    <n v="147.5"/>
    <n v="159.1"/>
    <n v="136.1"/>
    <n v="144.19999999999999"/>
    <n v="144.9"/>
    <n v="1826.8999999999999"/>
    <n v="449.1"/>
    <n v="296.8"/>
    <n v="288.29999999999995"/>
    <n v="291.7"/>
    <n v="3607.5999999999995"/>
  </r>
  <r>
    <x v="1"/>
    <n v="2019"/>
    <s v="July"/>
    <x v="79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857.3999999999999"/>
    <n v="419.3"/>
    <n v="415.3"/>
    <n v="275.89999999999998"/>
    <n v="269.5"/>
    <n v="3675.6000000000004"/>
  </r>
  <r>
    <x v="2"/>
    <n v="2019"/>
    <s v="July"/>
    <x v="79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837.5"/>
    <n v="437"/>
    <n v="434.09999999999997"/>
    <n v="283.60000000000002"/>
    <n v="280"/>
    <n v="3717"/>
  </r>
  <r>
    <x v="0"/>
    <n v="2019"/>
    <s v="August"/>
    <x v="80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m/>
    <n v="146.4"/>
    <n v="150.19999999999999"/>
    <n v="152.69999999999999"/>
    <n v="131.4"/>
    <n v="148"/>
    <n v="159.69999999999999"/>
    <n v="138.80000000000001"/>
    <n v="144.9"/>
    <n v="145.69999999999999"/>
    <n v="1834.5000000000002"/>
    <n v="449.5"/>
    <n v="296.60000000000002"/>
    <n v="291.5"/>
    <n v="292.89999999999998"/>
    <n v="3621.2000000000003"/>
  </r>
  <r>
    <x v="1"/>
    <n v="2019"/>
    <s v="August"/>
    <x v="80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869.1"/>
    <n v="420.2"/>
    <n v="415.20000000000005"/>
    <n v="279.3"/>
    <n v="270.70000000000005"/>
    <n v="3694.7"/>
  </r>
  <r>
    <x v="2"/>
    <n v="2019"/>
    <s v="August"/>
    <x v="80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846.5"/>
    <n v="437.6"/>
    <n v="434.6"/>
    <n v="286.89999999999998"/>
    <n v="281.10000000000002"/>
    <n v="3733.2"/>
  </r>
  <r>
    <x v="0"/>
    <n v="2019"/>
    <s v="September"/>
    <x v="81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m/>
    <n v="146.9"/>
    <n v="150.30000000000001"/>
    <n v="153.4"/>
    <n v="131.6"/>
    <n v="148.30000000000001"/>
    <n v="160.19999999999999"/>
    <n v="140.19999999999999"/>
    <n v="145.4"/>
    <n v="146.69999999999999"/>
    <n v="1848.7"/>
    <n v="449.29999999999995"/>
    <n v="297.20000000000005"/>
    <n v="293.60000000000002"/>
    <n v="293.70000000000005"/>
    <n v="3640"/>
  </r>
  <r>
    <x v="1"/>
    <n v="2019"/>
    <s v="September"/>
    <x v="81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874.9"/>
    <n v="420.8"/>
    <n v="417.09999999999997"/>
    <n v="280.89999999999998"/>
    <n v="271.60000000000002"/>
    <n v="3706.7000000000003"/>
  </r>
  <r>
    <x v="2"/>
    <n v="2019"/>
    <s v="September"/>
    <x v="81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857.6999999999998"/>
    <n v="437.69999999999993"/>
    <n v="436"/>
    <n v="288.7"/>
    <n v="282"/>
    <n v="3749.8999999999996"/>
  </r>
  <r>
    <x v="0"/>
    <n v="2019"/>
    <s v="October"/>
    <x v="82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m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876.8999999999996"/>
    <n v="449.4"/>
    <n v="298.29999999999995"/>
    <n v="294"/>
    <n v="294.39999999999998"/>
    <n v="3671.6999999999994"/>
  </r>
  <r>
    <x v="1"/>
    <n v="2019"/>
    <s v="October"/>
    <x v="82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902.6000000000001"/>
    <n v="422.20000000000005"/>
    <n v="420.59999999999997"/>
    <n v="281.89999999999998"/>
    <n v="272.2"/>
    <n v="3742"/>
  </r>
  <r>
    <x v="2"/>
    <n v="2019"/>
    <s v="October"/>
    <x v="82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885.5999999999997"/>
    <n v="438.40000000000003"/>
    <n v="438.6"/>
    <n v="289.39999999999998"/>
    <n v="282.7"/>
    <n v="3783.4999999999995"/>
  </r>
  <r>
    <x v="0"/>
    <n v="2019"/>
    <s v="November"/>
    <x v="83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m/>
    <n v="148.4"/>
    <n v="150.9"/>
    <n v="154.30000000000001"/>
    <n v="132.1"/>
    <n v="149.1"/>
    <n v="160.80000000000001"/>
    <n v="140.6"/>
    <n v="146.1"/>
    <n v="149.9"/>
    <n v="1904.6000000000001"/>
    <n v="450.8"/>
    <n v="299.3"/>
    <n v="294.89999999999998"/>
    <n v="295.2"/>
    <n v="3704.9000000000005"/>
  </r>
  <r>
    <x v="1"/>
    <n v="2019"/>
    <s v="November"/>
    <x v="83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923.9999999999998"/>
    <n v="423.09999999999997"/>
    <n v="424.79999999999995"/>
    <n v="282.60000000000002"/>
    <n v="273"/>
    <n v="3770.8999999999992"/>
  </r>
  <r>
    <x v="2"/>
    <n v="2019"/>
    <s v="November"/>
    <x v="83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910.9"/>
    <n v="439.5"/>
    <n v="441.1"/>
    <n v="290.20000000000005"/>
    <n v="283.39999999999998"/>
    <n v="3815.1"/>
  </r>
  <r>
    <x v="0"/>
    <n v="2019"/>
    <s v="December"/>
    <x v="84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m/>
    <n v="149.9"/>
    <n v="151.19999999999999"/>
    <n v="154.80000000000001"/>
    <n v="135"/>
    <n v="149.5"/>
    <n v="161.1"/>
    <n v="140.6"/>
    <n v="147.1"/>
    <n v="152.30000000000001"/>
    <n v="1940.9999999999995"/>
    <n v="451.79999999999995"/>
    <n v="301.10000000000002"/>
    <n v="295.39999999999998"/>
    <n v="296.60000000000002"/>
    <n v="3749.7999999999997"/>
  </r>
  <r>
    <x v="1"/>
    <n v="2019"/>
    <s v="December"/>
    <x v="84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956.7"/>
    <n v="424.20000000000005"/>
    <n v="426.2"/>
    <n v="283.39999999999998"/>
    <n v="274.5"/>
    <n v="3812.4999999999995"/>
  </r>
  <r>
    <x v="2"/>
    <n v="2019"/>
    <s v="December"/>
    <x v="84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946.1000000000001"/>
    <n v="440.6"/>
    <n v="442.3"/>
    <n v="290.8"/>
    <n v="284.8"/>
    <n v="3858.6000000000008"/>
  </r>
  <r>
    <x v="0"/>
    <n v="2020"/>
    <s v="January"/>
    <x v="85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m/>
    <n v="150.4"/>
    <n v="151.69999999999999"/>
    <n v="155.69999999999999"/>
    <n v="136.30000000000001"/>
    <n v="150.1"/>
    <n v="161.69999999999999"/>
    <n v="142.5"/>
    <n v="148.1"/>
    <n v="151.9"/>
    <n v="1938.6"/>
    <n v="452.30000000000007"/>
    <n v="302.10000000000002"/>
    <n v="298.2"/>
    <n v="298.2"/>
    <n v="3755.9999999999995"/>
  </r>
  <r>
    <x v="1"/>
    <n v="2020"/>
    <s v="January"/>
    <x v="85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945.3999999999999"/>
    <n v="425.1"/>
    <n v="429.1"/>
    <n v="285.89999999999998"/>
    <n v="275.60000000000002"/>
    <n v="3810.0999999999995"/>
  </r>
  <r>
    <x v="2"/>
    <n v="2020"/>
    <s v="January"/>
    <x v="85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940.3999999999999"/>
    <n v="441.2"/>
    <n v="444.7"/>
    <n v="293.5"/>
    <n v="286.20000000000005"/>
    <n v="3862.2"/>
  </r>
  <r>
    <x v="0"/>
    <n v="2020"/>
    <s v="February"/>
    <x v="86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m/>
    <n v="152.30000000000001"/>
    <n v="151.80000000000001"/>
    <n v="156.19999999999999"/>
    <n v="136"/>
    <n v="150.4"/>
    <n v="161.9"/>
    <n v="143.4"/>
    <n v="148.4"/>
    <n v="150.4"/>
    <n v="1909.7999999999997"/>
    <n v="452.8"/>
    <n v="304.10000000000002"/>
    <n v="299.60000000000002"/>
    <n v="298.8"/>
    <n v="3732.3999999999996"/>
  </r>
  <r>
    <x v="1"/>
    <n v="2020"/>
    <s v="February"/>
    <x v="86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916.6"/>
    <n v="426"/>
    <n v="434.1"/>
    <n v="287.89999999999998"/>
    <n v="276.10000000000002"/>
    <n v="3790.1"/>
  </r>
  <r>
    <x v="2"/>
    <n v="2020"/>
    <s v="February"/>
    <x v="86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911.6"/>
    <n v="442"/>
    <n v="448.4"/>
    <n v="295.10000000000002"/>
    <n v="286.79999999999995"/>
    <n v="3840.5"/>
  </r>
  <r>
    <x v="0"/>
    <n v="2020"/>
    <s v="March"/>
    <x v="87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m/>
    <n v="153.4"/>
    <n v="151.5"/>
    <n v="156.69999999999999"/>
    <n v="135.80000000000001"/>
    <n v="151.19999999999999"/>
    <n v="161.19999999999999"/>
    <n v="145.1"/>
    <n v="148.6"/>
    <n v="149.80000000000001"/>
    <n v="1894.5999999999997"/>
    <n v="453.5"/>
    <n v="304.89999999999998"/>
    <n v="301.79999999999995"/>
    <n v="299.79999999999995"/>
    <n v="3722.0999999999995"/>
  </r>
  <r>
    <x v="1"/>
    <n v="2020"/>
    <s v="March"/>
    <x v="87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898.5"/>
    <n v="427.1"/>
    <n v="436.7"/>
    <n v="290.3"/>
    <n v="276.60000000000002"/>
    <n v="3779.6"/>
  </r>
  <r>
    <x v="2"/>
    <n v="2020"/>
    <s v="March"/>
    <x v="87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895.4"/>
    <n v="442.90000000000003"/>
    <n v="449.79999999999995"/>
    <n v="297.5"/>
    <n v="287.5"/>
    <n v="3830.3"/>
  </r>
  <r>
    <x v="0"/>
    <n v="2020"/>
    <s v="April"/>
    <x v="88"/>
    <n v="147.19999999999999"/>
    <m/>
    <n v="146.9"/>
    <n v="155.6"/>
    <n v="137.1"/>
    <n v="147.30000000000001"/>
    <n v="162.69999999999999"/>
    <n v="150.19999999999999"/>
    <n v="119.8"/>
    <n v="158.69999999999999"/>
    <n v="139.19999999999999"/>
    <m/>
    <n v="150.1"/>
    <m/>
    <m/>
    <m/>
    <m/>
    <m/>
    <n v="148.4"/>
    <m/>
    <n v="154.30000000000001"/>
    <m/>
    <m/>
    <m/>
    <m/>
    <m/>
    <m/>
    <n v="1614.8000000000002"/>
    <n v="0"/>
    <n v="148.4"/>
    <m/>
    <m/>
    <n v="1763.2000000000003"/>
  </r>
  <r>
    <x v="1"/>
    <n v="2020"/>
    <s v="April"/>
    <x v="88"/>
    <n v="151.80000000000001"/>
    <m/>
    <n v="151.9"/>
    <n v="155.5"/>
    <n v="131.6"/>
    <n v="152.9"/>
    <n v="180"/>
    <n v="150.80000000000001"/>
    <n v="121.2"/>
    <n v="154"/>
    <n v="133.5"/>
    <m/>
    <n v="153.5"/>
    <m/>
    <m/>
    <m/>
    <m/>
    <n v="155.6"/>
    <n v="137.1"/>
    <m/>
    <n v="144.80000000000001"/>
    <m/>
    <m/>
    <m/>
    <m/>
    <m/>
    <m/>
    <n v="1636.7"/>
    <n v="0"/>
    <n v="292.7"/>
    <e v="#VALUE!"/>
    <e v="#VALUE!"/>
    <e v="#VALUE!"/>
  </r>
  <r>
    <x v="2"/>
    <n v="2020"/>
    <s v="April"/>
    <x v="88"/>
    <n v="148.69999999999999"/>
    <m/>
    <n v="148.80000000000001"/>
    <n v="155.6"/>
    <n v="135.1"/>
    <n v="149.9"/>
    <n v="168.6"/>
    <n v="150.4"/>
    <n v="120.3"/>
    <n v="157.1"/>
    <n v="136.80000000000001"/>
    <m/>
    <n v="151.4"/>
    <m/>
    <m/>
    <m/>
    <m/>
    <n v="155.6"/>
    <n v="144.1"/>
    <m/>
    <n v="150.69999999999999"/>
    <m/>
    <m/>
    <m/>
    <m/>
    <m/>
    <m/>
    <n v="1622.7"/>
    <n v="0"/>
    <n v="299.7"/>
    <e v="#VALUE!"/>
    <e v="#VALUE!"/>
    <e v="#VALUE!"/>
  </r>
  <r>
    <x v="0"/>
    <n v="2020"/>
    <s v="May"/>
    <x v="89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m/>
    <m/>
    <n v="0"/>
  </r>
  <r>
    <x v="1"/>
    <n v="2020"/>
    <s v="May"/>
    <x v="89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e v="#VALUE!"/>
    <e v="#VALUE!"/>
  </r>
  <r>
    <x v="2"/>
    <n v="2020"/>
    <s v="May"/>
    <x v="89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e v="#VALUE!"/>
    <e v="#VALUE!"/>
  </r>
  <r>
    <x v="0"/>
    <n v="2020"/>
    <s v="June"/>
    <x v="90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m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296.60000000000002"/>
    <n v="309.39999999999998"/>
    <n v="304.89999999999998"/>
    <n v="3806.2999999999997"/>
  </r>
  <r>
    <x v="1"/>
    <n v="2020"/>
    <s v="June"/>
    <x v="90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432.19999999999993"/>
    <n v="300.29999999999995"/>
    <n v="286.5"/>
    <n v="3915.3999999999996"/>
  </r>
  <r>
    <x v="2"/>
    <n v="2020"/>
    <s v="June"/>
    <x v="90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443"/>
    <n v="306"/>
    <n v="295.3"/>
    <n v="3934.3"/>
  </r>
  <r>
    <x v="0"/>
    <n v="2020"/>
    <s v="July"/>
    <x v="91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m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296.60000000000002"/>
    <n v="309.39999999999998"/>
    <n v="304.89999999999998"/>
    <n v="3806.2999999999997"/>
  </r>
  <r>
    <x v="1"/>
    <n v="2020"/>
    <s v="July"/>
    <x v="91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432.19999999999993"/>
    <n v="300.29999999999995"/>
    <n v="286.5"/>
    <n v="3915.3999999999996"/>
  </r>
  <r>
    <x v="2"/>
    <n v="2020"/>
    <s v="July"/>
    <x v="91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443"/>
    <n v="306"/>
    <n v="295.3"/>
    <n v="3934.3"/>
  </r>
  <r>
    <x v="0"/>
    <n v="2020"/>
    <s v="August"/>
    <x v="92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m/>
    <n v="145.80000000000001"/>
    <n v="151.9"/>
    <n v="158.80000000000001"/>
    <n v="143.6"/>
    <n v="152.19999999999999"/>
    <n v="162.69999999999999"/>
    <n v="153.6"/>
    <n v="153"/>
    <n v="154.69999999999999"/>
    <n v="1978.6"/>
    <n v="458.7"/>
    <n v="297.70000000000005"/>
    <n v="312.39999999999998"/>
    <n v="305.2"/>
    <n v="3839.7999999999997"/>
  </r>
  <r>
    <x v="1"/>
    <n v="2020"/>
    <s v="August"/>
    <x v="92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2024.8999999999999"/>
    <n v="433"/>
    <n v="438.3"/>
    <n v="303.89999999999998"/>
    <n v="286"/>
    <n v="3962.7000000000003"/>
  </r>
  <r>
    <x v="2"/>
    <n v="2020"/>
    <s v="August"/>
    <x v="92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995.1999999999998"/>
    <n v="448.2"/>
    <n v="446.9"/>
    <n v="309.3"/>
    <n v="295"/>
    <n v="3974.2"/>
  </r>
  <r>
    <x v="0"/>
    <n v="2020"/>
    <s v="September"/>
    <x v="93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m/>
    <n v="146.4"/>
    <n v="151.6"/>
    <n v="159.1"/>
    <n v="144.6"/>
    <n v="152.80000000000001"/>
    <n v="161.1"/>
    <n v="157.4"/>
    <n v="153.69999999999999"/>
    <n v="155.4"/>
    <n v="1987.3999999999999"/>
    <n v="459.9"/>
    <n v="298"/>
    <n v="316.5"/>
    <n v="306.5"/>
    <n v="3856.9"/>
  </r>
  <r>
    <x v="1"/>
    <n v="2020"/>
    <s v="September"/>
    <x v="93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2041.6000000000001"/>
    <n v="434.6"/>
    <n v="438.9"/>
    <n v="309.8"/>
    <n v="287.8"/>
    <n v="3991.4000000000005"/>
  </r>
  <r>
    <x v="2"/>
    <n v="2020"/>
    <s v="September"/>
    <x v="93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2007"/>
    <n v="449.70000000000005"/>
    <n v="447.90000000000003"/>
    <n v="314"/>
    <n v="296.60000000000002"/>
    <n v="3996.7"/>
  </r>
  <r>
    <x v="0"/>
    <n v="2020"/>
    <s v="October"/>
    <x v="94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m/>
    <n v="146.80000000000001"/>
    <n v="152"/>
    <n v="159.5"/>
    <n v="146.4"/>
    <n v="152.4"/>
    <n v="162.5"/>
    <n v="156.19999999999999"/>
    <n v="154.30000000000001"/>
    <n v="157.5"/>
    <n v="2030.9"/>
    <n v="461.29999999999995"/>
    <n v="298.8"/>
    <n v="315.7"/>
    <n v="306.70000000000005"/>
    <n v="3905"/>
  </r>
  <r>
    <x v="1"/>
    <n v="2020"/>
    <s v="October"/>
    <x v="94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2080.1999999999998"/>
    <n v="434.90000000000003"/>
    <n v="438.70000000000005"/>
    <n v="309.10000000000002"/>
    <n v="288.2"/>
    <n v="4030.9"/>
  </r>
  <r>
    <x v="2"/>
    <n v="2020"/>
    <s v="October"/>
    <x v="94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2048.6000000000004"/>
    <n v="450.59999999999997"/>
    <n v="448.3"/>
    <n v="313.3"/>
    <n v="296.89999999999998"/>
    <n v="4041.1000000000008"/>
  </r>
  <r>
    <x v="0"/>
    <n v="2020"/>
    <s v="November"/>
    <x v="95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m/>
    <n v="147.5"/>
    <n v="152.80000000000001"/>
    <n v="160.4"/>
    <n v="146.1"/>
    <n v="153.6"/>
    <n v="161.6"/>
    <n v="156.19999999999999"/>
    <n v="154.5"/>
    <n v="159.80000000000001"/>
    <n v="2082.4"/>
    <n v="462.8"/>
    <n v="300.3"/>
    <n v="316.60000000000002"/>
    <n v="308.10000000000002"/>
    <n v="3961.3"/>
  </r>
  <r>
    <x v="1"/>
    <n v="2020"/>
    <s v="November"/>
    <x v="95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2120.6999999999998"/>
    <n v="436.3"/>
    <n v="440.4"/>
    <n v="309.89999999999998"/>
    <n v="291"/>
    <n v="4078.7000000000003"/>
  </r>
  <r>
    <x v="2"/>
    <n v="2020"/>
    <s v="November"/>
    <x v="95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2095.6"/>
    <n v="452.00000000000006"/>
    <n v="450.8"/>
    <n v="314.10000000000002"/>
    <n v="299.10000000000002"/>
    <n v="4095.4"/>
  </r>
  <r>
    <x v="0"/>
    <n v="2020"/>
    <s v="December"/>
    <x v="96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m/>
    <n v="148.69999999999999"/>
    <n v="153.4"/>
    <n v="161.6"/>
    <n v="146.4"/>
    <n v="153.9"/>
    <n v="162.9"/>
    <n v="156.6"/>
    <n v="155.19999999999999"/>
    <n v="160.69999999999999"/>
    <n v="2100.5"/>
    <n v="464.90000000000003"/>
    <n v="302.10000000000002"/>
    <n v="318.2"/>
    <n v="309.10000000000002"/>
    <n v="3987.7"/>
  </r>
  <r>
    <x v="1"/>
    <n v="2020"/>
    <s v="December"/>
    <x v="96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2125.4"/>
    <n v="438.20000000000005"/>
    <n v="441.8"/>
    <n v="310.8"/>
    <n v="291.20000000000005"/>
    <n v="4090"/>
  </r>
  <r>
    <x v="2"/>
    <n v="2020"/>
    <s v="December"/>
    <x v="96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2109.1"/>
    <n v="454"/>
    <n v="452.7"/>
    <n v="315.39999999999998"/>
    <n v="299.7"/>
    <n v="4116.3999999999996"/>
  </r>
  <r>
    <x v="0"/>
    <n v="2021"/>
    <s v="January"/>
    <x v="97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m/>
    <n v="150.9"/>
    <n v="153.9"/>
    <n v="162.5"/>
    <n v="147.5"/>
    <n v="155.1"/>
    <n v="163.5"/>
    <n v="156.19999999999999"/>
    <n v="155.9"/>
    <n v="158.5"/>
    <n v="2065.6999999999998"/>
    <n v="466.7"/>
    <n v="304.8"/>
    <n v="318.7"/>
    <n v="311"/>
    <n v="3962.4999999999995"/>
  </r>
  <r>
    <x v="1"/>
    <n v="2021"/>
    <s v="January"/>
    <x v="97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2097"/>
    <n v="440"/>
    <n v="446.3"/>
    <n v="311.79999999999995"/>
    <n v="293"/>
    <n v="4072.9000000000005"/>
  </r>
  <r>
    <x v="2"/>
    <n v="2021"/>
    <s v="January"/>
    <x v="97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2076.5"/>
    <n v="455.8"/>
    <n v="455.6"/>
    <n v="316.10000000000002"/>
    <n v="301.5"/>
    <n v="4093.1"/>
  </r>
  <r>
    <x v="0"/>
    <n v="2021"/>
    <s v="February"/>
    <x v="98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m/>
    <n v="154.4"/>
    <n v="154.80000000000001"/>
    <n v="164.3"/>
    <n v="150.19999999999999"/>
    <n v="157"/>
    <n v="163.6"/>
    <n v="155.19999999999999"/>
    <n v="157.19999999999999"/>
    <n v="156.69999999999999"/>
    <n v="2025.3"/>
    <n v="471.4"/>
    <n v="309.20000000000005"/>
    <n v="319.5"/>
    <n v="314.2"/>
    <n v="3939.8999999999996"/>
  </r>
  <r>
    <x v="1"/>
    <n v="2021"/>
    <s v="February"/>
    <x v="98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2066"/>
    <n v="444.2"/>
    <n v="455.4"/>
    <n v="313"/>
    <n v="296.60000000000002"/>
    <n v="4065.6"/>
  </r>
  <r>
    <x v="2"/>
    <n v="2021"/>
    <s v="February"/>
    <x v="98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2039.3000000000002"/>
    <n v="460.40000000000003"/>
    <n v="463.1"/>
    <n v="317.10000000000002"/>
    <n v="304.89999999999998"/>
    <n v="4077.7000000000003"/>
  </r>
  <r>
    <x v="0"/>
    <n v="2021"/>
    <s v="March"/>
    <x v="99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  <n v="2025.7"/>
    <n v="472.9"/>
    <n v="310.8"/>
    <n v="317.7"/>
    <n v="315.10000000000002"/>
    <n v="3943.4"/>
  </r>
  <r>
    <x v="1"/>
    <n v="2021"/>
    <s v="March"/>
    <x v="99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2064.4999999999995"/>
    <n v="446.4"/>
    <n v="461.90000000000003"/>
    <n v="311.8"/>
    <n v="298.60000000000002"/>
    <n v="4075.9999999999995"/>
  </r>
  <r>
    <x v="2"/>
    <n v="2021"/>
    <s v="March"/>
    <x v="99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2039.3999999999999"/>
    <n v="462.1"/>
    <n v="466.59999999999997"/>
    <n v="315.5"/>
    <n v="306.39999999999998"/>
    <n v="4084.4999999999995"/>
  </r>
  <r>
    <x v="0"/>
    <n v="2021"/>
    <s v="April"/>
    <x v="100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  <n v="2049.5"/>
    <n v="475.69999999999993"/>
    <n v="311.5"/>
    <n v="319.89999999999998"/>
    <n v="316.60000000000002"/>
    <n v="3975.7999999999997"/>
  </r>
  <r>
    <x v="1"/>
    <n v="2021"/>
    <s v="April"/>
    <x v="100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2089.6"/>
    <n v="448.6"/>
    <n v="463.9"/>
    <n v="314.10000000000002"/>
    <n v="299.60000000000002"/>
    <n v="4109.8999999999996"/>
  </r>
  <r>
    <x v="2"/>
    <n v="2021"/>
    <s v="April"/>
    <x v="100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2064.1"/>
    <n v="464.6"/>
    <n v="468.8"/>
    <n v="317.70000000000005"/>
    <n v="307.60000000000002"/>
    <n v="4118.5"/>
  </r>
  <r>
    <x v="0"/>
    <n v="2021"/>
    <s v="May"/>
    <x v="101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m/>
    <n v="161.69999999999999"/>
    <n v="158.80000000000001"/>
    <n v="169.1"/>
    <n v="153.19999999999999"/>
    <n v="160"/>
    <n v="167.6"/>
    <n v="159.30000000000001"/>
    <n v="161.1"/>
    <n v="161.1"/>
    <n v="2095.2999999999997"/>
    <n v="490.4"/>
    <n v="320.5"/>
    <n v="328.4"/>
    <n v="321.10000000000002"/>
    <n v="4066.1"/>
  </r>
  <r>
    <x v="1"/>
    <n v="2021"/>
    <s v="May"/>
    <x v="101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2124.7000000000003"/>
    <n v="450.79999999999995"/>
    <n v="467.20000000000005"/>
    <n v="317.89999999999998"/>
    <n v="304.89999999999998"/>
    <n v="4165.3"/>
  </r>
  <r>
    <x v="2"/>
    <n v="2021"/>
    <s v="May"/>
    <x v="101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2105.7000000000003"/>
    <n v="474.29999999999995"/>
    <n v="475.7"/>
    <n v="324.39999999999998"/>
    <n v="312.60000000000002"/>
    <n v="4194.7"/>
  </r>
  <r>
    <x v="0"/>
    <n v="2021"/>
    <s v="June"/>
    <x v="102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m/>
    <n v="162.1"/>
    <n v="159.19999999999999"/>
    <n v="169.7"/>
    <n v="154.19999999999999"/>
    <n v="160.4"/>
    <n v="166.8"/>
    <n v="159.4"/>
    <n v="161.5"/>
    <n v="162.1"/>
    <n v="2122.6"/>
    <n v="489.80000000000007"/>
    <n v="321.29999999999995"/>
    <n v="329.1"/>
    <n v="321.89999999999998"/>
    <n v="4094.8"/>
  </r>
  <r>
    <x v="1"/>
    <n v="2021"/>
    <s v="June"/>
    <x v="102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2154.1999999999998"/>
    <n v="452.6"/>
    <n v="466.40000000000003"/>
    <n v="318.8"/>
    <n v="304.10000000000002"/>
    <n v="4197.3"/>
  </r>
  <r>
    <x v="2"/>
    <n v="2021"/>
    <s v="June"/>
    <x v="102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2133.9"/>
    <n v="474.7"/>
    <n v="475.1"/>
    <n v="325.10000000000002"/>
    <n v="312.5"/>
    <n v="4224.5"/>
  </r>
  <r>
    <x v="0"/>
    <n v="2021"/>
    <s v="July"/>
    <x v="103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m/>
    <n v="162.5"/>
    <n v="160.30000000000001"/>
    <n v="170.4"/>
    <n v="157.1"/>
    <n v="160.69999999999999"/>
    <n v="167.2"/>
    <n v="160.4"/>
    <n v="162.80000000000001"/>
    <n v="163.19999999999999"/>
    <n v="2132.4"/>
    <n v="492.40000000000003"/>
    <n v="322.8"/>
    <n v="330.8"/>
    <n v="323.5"/>
    <n v="4115.9000000000005"/>
  </r>
  <r>
    <x v="1"/>
    <n v="2021"/>
    <s v="July"/>
    <x v="103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2171.8000000000002"/>
    <n v="455.3"/>
    <n v="469.9"/>
    <n v="321.10000000000002"/>
    <n v="306.2"/>
    <n v="4229.6000000000004"/>
  </r>
  <r>
    <x v="2"/>
    <n v="2021"/>
    <s v="July"/>
    <x v="103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2147"/>
    <n v="477.29999999999995"/>
    <n v="478"/>
    <n v="327.10000000000002"/>
    <n v="314.3"/>
    <n v="4251.2"/>
  </r>
  <r>
    <x v="0"/>
    <n v="2021"/>
    <s v="August"/>
    <x v="104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m/>
    <n v="163.1"/>
    <n v="160.9"/>
    <n v="171.1"/>
    <n v="157.69999999999999"/>
    <n v="161.1"/>
    <n v="167.5"/>
    <n v="160.30000000000001"/>
    <n v="163.30000000000001"/>
    <n v="163.6"/>
    <n v="2130.8000000000002"/>
    <n v="495.90000000000003"/>
    <n v="324"/>
    <n v="331.4"/>
    <n v="324.39999999999998"/>
    <n v="4121.9000000000005"/>
  </r>
  <r>
    <x v="1"/>
    <n v="2021"/>
    <s v="August"/>
    <x v="104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2157.9"/>
    <n v="460.7"/>
    <n v="475.99999999999994"/>
    <n v="322.39999999999998"/>
    <n v="309.7"/>
    <n v="4234"/>
  </r>
  <r>
    <x v="2"/>
    <n v="2021"/>
    <s v="August"/>
    <x v="104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2142"/>
    <n v="483"/>
    <n v="482.2"/>
    <n v="328.4"/>
    <n v="317.60000000000002"/>
    <n v="4263.1000000000004"/>
  </r>
  <r>
    <x v="0"/>
    <n v="2021"/>
    <s v="September"/>
    <x v="105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m/>
    <n v="163.69999999999999"/>
    <n v="161.30000000000001"/>
    <n v="171.9"/>
    <n v="157.80000000000001"/>
    <n v="162.69999999999999"/>
    <n v="168.5"/>
    <n v="160.19999999999999"/>
    <n v="163.80000000000001"/>
    <n v="164"/>
    <n v="2133.6"/>
    <n v="498.4"/>
    <n v="325"/>
    <n v="332.1"/>
    <n v="326.5"/>
    <n v="4132.3999999999996"/>
  </r>
  <r>
    <x v="1"/>
    <n v="2021"/>
    <s v="September"/>
    <x v="105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2157.9"/>
    <n v="460.79999999999995"/>
    <n v="476.2"/>
    <n v="322.39999999999998"/>
    <n v="309.89999999999998"/>
    <n v="4234.5"/>
  </r>
  <r>
    <x v="2"/>
    <n v="2021"/>
    <s v="September"/>
    <x v="105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2142"/>
    <n v="483.2"/>
    <n v="482.2"/>
    <n v="328.4"/>
    <n v="317.7"/>
    <n v="4263.3"/>
  </r>
  <r>
    <x v="0"/>
    <n v="2021"/>
    <s v="October"/>
    <x v="106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m/>
    <n v="165.5"/>
    <n v="162"/>
    <n v="172.5"/>
    <n v="159.5"/>
    <n v="163.19999999999999"/>
    <n v="169"/>
    <n v="161.1"/>
    <n v="164.7"/>
    <n v="166.3"/>
    <n v="2164.1999999999998"/>
    <n v="502.00000000000006"/>
    <n v="327.5"/>
    <n v="333.6"/>
    <n v="327.9"/>
    <n v="4174.8999999999996"/>
  </r>
  <r>
    <x v="1"/>
    <n v="2021"/>
    <s v="October"/>
    <x v="106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2198.4000000000005"/>
    <n v="463.50000000000006"/>
    <n v="480.09999999999997"/>
    <n v="323.8"/>
    <n v="312.10000000000002"/>
    <n v="4287.4000000000005"/>
  </r>
  <r>
    <x v="2"/>
    <n v="2021"/>
    <s v="October"/>
    <x v="106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2175.5"/>
    <n v="486.3"/>
    <n v="486.19999999999993"/>
    <n v="329.9"/>
    <n v="319.60000000000002"/>
    <n v="4309.8"/>
  </r>
  <r>
    <x v="0"/>
    <n v="2021"/>
    <s v="November"/>
    <x v="107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m/>
    <n v="165.3"/>
    <n v="162.9"/>
    <n v="173.4"/>
    <n v="158.9"/>
    <n v="163.80000000000001"/>
    <n v="169.3"/>
    <n v="162.4"/>
    <n v="165.2"/>
    <n v="167.6"/>
    <n v="2182"/>
    <n v="506.2"/>
    <n v="328.20000000000005"/>
    <n v="335.8"/>
    <n v="329"/>
    <n v="4200.8"/>
  </r>
  <r>
    <x v="1"/>
    <n v="2021"/>
    <s v="November"/>
    <x v="107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2217.8999999999996"/>
    <n v="467.3"/>
    <n v="480.99999999999994"/>
    <n v="326"/>
    <n v="314"/>
    <n v="4315.2"/>
  </r>
  <r>
    <x v="2"/>
    <n v="2021"/>
    <s v="November"/>
    <x v="107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2194.1"/>
    <n v="490.40000000000003"/>
    <n v="487.40000000000003"/>
    <n v="332.1"/>
    <n v="321.20000000000005"/>
    <n v="4337.2"/>
  </r>
  <r>
    <x v="0"/>
    <n v="2021"/>
    <s v="December"/>
    <x v="108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m/>
    <n v="165.6"/>
    <n v="163.9"/>
    <n v="174"/>
    <n v="160.1"/>
    <n v="164.5"/>
    <n v="169.7"/>
    <n v="162.80000000000001"/>
    <n v="166"/>
    <n v="167"/>
    <n v="2168.1999999999998"/>
    <n v="510.3"/>
    <n v="329.5"/>
    <n v="336.8"/>
    <n v="330.5"/>
    <n v="4195.8999999999996"/>
  </r>
  <r>
    <x v="1"/>
    <n v="2021"/>
    <s v="December"/>
    <x v="108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2206.3000000000002"/>
    <n v="470.7"/>
    <n v="481.1"/>
    <n v="327.5"/>
    <n v="315.39999999999998"/>
    <n v="4310.2"/>
  </r>
  <r>
    <x v="2"/>
    <n v="2021"/>
    <s v="December"/>
    <x v="108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2180.9"/>
    <n v="494.2"/>
    <n v="487.7"/>
    <n v="333.2"/>
    <n v="322.60000000000002"/>
    <n v="4331.0999999999995"/>
  </r>
  <r>
    <x v="0"/>
    <n v="2022"/>
    <s v="January"/>
    <x v="109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m/>
    <n v="165.8"/>
    <n v="164.9"/>
    <n v="174.7"/>
    <n v="160.80000000000001"/>
    <n v="164.9"/>
    <n v="169.9"/>
    <n v="163.19999999999999"/>
    <n v="166.6"/>
    <n v="166.4"/>
    <n v="2153"/>
    <n v="515.20000000000005"/>
    <n v="330.70000000000005"/>
    <n v="337.9"/>
    <n v="331.5"/>
    <n v="4189.7000000000007"/>
  </r>
  <r>
    <x v="1"/>
    <n v="2022"/>
    <s v="January"/>
    <x v="109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2186.6999999999998"/>
    <n v="475.4"/>
    <n v="482.90000000000003"/>
    <n v="328.9"/>
    <n v="317"/>
    <n v="4301"/>
  </r>
  <r>
    <x v="2"/>
    <n v="2022"/>
    <s v="January"/>
    <x v="109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2164.1999999999998"/>
    <n v="499.1"/>
    <n v="489.79999999999995"/>
    <n v="334.4"/>
    <n v="323.89999999999998"/>
    <n v="4324.8"/>
  </r>
  <r>
    <x v="0"/>
    <n v="2022"/>
    <s v="February"/>
    <x v="110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m/>
    <n v="167.4"/>
    <n v="165.7"/>
    <n v="175.3"/>
    <n v="161.19999999999999"/>
    <n v="165.5"/>
    <n v="170.3"/>
    <n v="164.5"/>
    <n v="167.3"/>
    <n v="166.7"/>
    <n v="2150.4"/>
    <n v="518.79999999999995"/>
    <n v="333.1"/>
    <n v="339.8"/>
    <n v="332.8"/>
    <n v="4197.8999999999996"/>
  </r>
  <r>
    <x v="1"/>
    <n v="2022"/>
    <s v="February"/>
    <x v="110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2183.5"/>
    <n v="479.5"/>
    <n v="485.9"/>
    <n v="331.4"/>
    <n v="318.89999999999998"/>
    <n v="4310.8"/>
  </r>
  <r>
    <x v="2"/>
    <n v="2022"/>
    <s v="February"/>
    <x v="110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2161.2000000000003"/>
    <n v="502.80000000000007"/>
    <n v="493"/>
    <n v="336.6"/>
    <n v="325.60000000000002"/>
    <n v="4334.3"/>
  </r>
  <r>
    <x v="0"/>
    <n v="2022"/>
    <s v="March"/>
    <x v="111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m/>
    <n v="168.9"/>
    <n v="166.5"/>
    <n v="176"/>
    <n v="162"/>
    <n v="166.6"/>
    <n v="170.6"/>
    <n v="167.4"/>
    <n v="168.3"/>
    <n v="168.7"/>
    <n v="2179.1000000000004"/>
    <n v="523.70000000000005"/>
    <n v="335.4"/>
    <n v="343.4"/>
    <n v="334.9"/>
    <n v="4241.4000000000005"/>
  </r>
  <r>
    <x v="1"/>
    <n v="2022"/>
    <s v="March"/>
    <x v="111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2196.3000000000002"/>
    <n v="484.6"/>
    <n v="488.4"/>
    <n v="335"/>
    <n v="321.39999999999998"/>
    <n v="4340.1000000000004"/>
  </r>
  <r>
    <x v="2"/>
    <n v="2022"/>
    <s v="March"/>
    <x v="111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2184.2000000000003"/>
    <n v="507.79999999999995"/>
    <n v="495.3"/>
    <n v="340.2"/>
    <n v="327.9"/>
    <n v="4373"/>
  </r>
  <r>
    <x v="0"/>
    <n v="2022"/>
    <s v="April"/>
    <x v="112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m/>
    <n v="173.3"/>
    <n v="167.7"/>
    <n v="177"/>
    <n v="166.2"/>
    <n v="167.2"/>
    <n v="170.9"/>
    <n v="169"/>
    <n v="170.2"/>
    <n v="170.8"/>
    <n v="2206.6"/>
    <n v="529.70000000000005"/>
    <n v="341"/>
    <n v="346"/>
    <n v="337.4"/>
    <n v="4290.5999999999995"/>
  </r>
  <r>
    <x v="1"/>
    <n v="2022"/>
    <s v="April"/>
    <x v="112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2230.4"/>
    <n v="489.2"/>
    <n v="497.3"/>
    <n v="337.4"/>
    <n v="325.29999999999995"/>
    <n v="4400"/>
  </r>
  <r>
    <x v="2"/>
    <n v="2022"/>
    <s v="April"/>
    <x v="112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2214.3000000000002"/>
    <n v="513.20000000000005"/>
    <n v="503.2"/>
    <n v="342.8"/>
    <n v="331.20000000000005"/>
    <n v="4428.1000000000004"/>
  </r>
  <r>
    <x v="0"/>
    <n v="2022"/>
    <s v="May"/>
    <x v="113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m/>
    <n v="175.3"/>
    <n v="168.9"/>
    <n v="177.7"/>
    <n v="167.1"/>
    <n v="167.6"/>
    <n v="171.8"/>
    <n v="168.5"/>
    <n v="170.9"/>
    <n v="172.5"/>
    <n v="2226.8000000000002"/>
    <n v="535.5"/>
    <n v="344.20000000000005"/>
    <n v="346.2"/>
    <n v="338.5"/>
    <n v="4323"/>
  </r>
  <r>
    <x v="1"/>
    <n v="2022"/>
    <s v="May"/>
    <x v="113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2262.2000000000003"/>
    <n v="493.7"/>
    <n v="502.1"/>
    <n v="338.29999999999995"/>
    <n v="327"/>
    <n v="4445.3999999999996"/>
  </r>
  <r>
    <x v="2"/>
    <n v="2022"/>
    <s v="May"/>
    <x v="113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2238.9000000000005"/>
    <n v="518.6"/>
    <n v="507.3"/>
    <n v="343.20000000000005"/>
    <n v="332.6"/>
    <n v="4465.6000000000013"/>
  </r>
  <r>
    <x v="0"/>
    <n v="2022"/>
    <s v="June"/>
    <x v="114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m/>
    <n v="176.7"/>
    <n v="170.3"/>
    <n v="178.2"/>
    <n v="165.5"/>
    <n v="168"/>
    <n v="172.6"/>
    <n v="169.5"/>
    <n v="171"/>
    <n v="173.6"/>
    <n v="2248.3000000000002"/>
    <n v="539.79999999999995"/>
    <n v="347"/>
    <n v="347.7"/>
    <n v="339"/>
    <n v="4352.8"/>
  </r>
  <r>
    <x v="1"/>
    <n v="2022"/>
    <s v="June"/>
    <x v="114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2287.5"/>
    <n v="498.4"/>
    <n v="503.80000000000007"/>
    <n v="340.1"/>
    <n v="327.9"/>
    <n v="4479.7"/>
  </r>
  <r>
    <x v="2"/>
    <n v="2022"/>
    <s v="June"/>
    <x v="114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2261.9"/>
    <n v="523"/>
    <n v="509.20000000000005"/>
    <n v="344.8"/>
    <n v="333.3"/>
    <n v="4496.6000000000004"/>
  </r>
  <r>
    <x v="0"/>
    <n v="2022"/>
    <s v="July"/>
    <x v="115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m/>
    <n v="179.6"/>
    <n v="171.3"/>
    <n v="178.8"/>
    <n v="166.3"/>
    <n v="168.6"/>
    <n v="174.7"/>
    <n v="169.7"/>
    <n v="171.8"/>
    <n v="174.3"/>
    <n v="2252.5"/>
    <n v="544"/>
    <n v="350.9"/>
    <n v="348.5"/>
    <n v="340.4"/>
    <n v="4370.5"/>
  </r>
  <r>
    <x v="1"/>
    <n v="2022"/>
    <s v="July"/>
    <x v="115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2291.6"/>
    <n v="502"/>
    <n v="510.4"/>
    <n v="341.5"/>
    <n v="329.29999999999995"/>
    <n v="4499.9000000000005"/>
  </r>
  <r>
    <x v="2"/>
    <n v="2022"/>
    <s v="July"/>
    <x v="115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2266.3000000000002"/>
    <n v="526.90000000000009"/>
    <n v="514.79999999999995"/>
    <n v="345.79999999999995"/>
    <n v="334.70000000000005"/>
    <n v="4516.1000000000004"/>
  </r>
  <r>
    <x v="0"/>
    <n v="2022"/>
    <s v="August"/>
    <x v="116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m/>
    <n v="179.1"/>
    <n v="172.3"/>
    <n v="179.4"/>
    <n v="166.6"/>
    <n v="169.3"/>
    <n v="175.7"/>
    <n v="171.1"/>
    <n v="172.6"/>
    <n v="175.3"/>
    <n v="2255.7999999999997"/>
    <n v="547.9"/>
    <n v="351.4"/>
    <n v="350.5"/>
    <n v="341.9"/>
    <n v="4383.5"/>
  </r>
  <r>
    <x v="1"/>
    <n v="2022"/>
    <s v="August"/>
    <x v="116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2293.6999999999998"/>
    <n v="505.29999999999995"/>
    <n v="511.59999999999997"/>
    <n v="344"/>
    <n v="330.5"/>
    <n v="4511.3999999999996"/>
  </r>
  <r>
    <x v="2"/>
    <n v="2022"/>
    <s v="August"/>
    <x v="116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2269.2000000000003"/>
    <n v="530.70000000000005"/>
    <n v="516.29999999999995"/>
    <n v="348"/>
    <n v="336"/>
    <n v="4529.4000000000005"/>
  </r>
  <r>
    <x v="0"/>
    <n v="2022"/>
    <s v="September"/>
    <x v="117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m/>
    <n v="179.7"/>
    <n v="173.6"/>
    <n v="180.2"/>
    <n v="166.9"/>
    <n v="170"/>
    <n v="176.2"/>
    <n v="170.8"/>
    <n v="173.1"/>
    <n v="176.4"/>
    <n v="2267.8000000000002"/>
    <n v="552.5"/>
    <n v="353.29999999999995"/>
    <n v="351"/>
    <n v="343.1"/>
    <n v="4405.3"/>
  </r>
  <r>
    <x v="1"/>
    <n v="2022"/>
    <s v="September"/>
    <x v="117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2306.4"/>
    <n v="509.7"/>
    <n v="513.70000000000005"/>
    <n v="344.9"/>
    <n v="331.9"/>
    <n v="4535.3999999999987"/>
  </r>
  <r>
    <x v="2"/>
    <n v="2022"/>
    <s v="September"/>
    <x v="117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2280.9"/>
    <n v="535.1"/>
    <n v="518.5"/>
    <n v="348.70000000000005"/>
    <n v="337.29999999999995"/>
    <n v="4551.8"/>
  </r>
  <r>
    <x v="0"/>
    <n v="2022"/>
    <s v="October"/>
    <x v="118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m/>
    <n v="180.8"/>
    <n v="174.4"/>
    <n v="181.2"/>
    <n v="167.4"/>
    <n v="170.6"/>
    <n v="176.5"/>
    <n v="172"/>
    <n v="173.9"/>
    <n v="177.9"/>
    <n v="2284.5"/>
    <n v="556.4"/>
    <n v="355.20000000000005"/>
    <n v="353.2"/>
    <n v="344.5"/>
    <n v="4432.6000000000004"/>
  </r>
  <r>
    <x v="1"/>
    <n v="2022"/>
    <s v="October"/>
    <x v="118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2322.3000000000002"/>
    <n v="511.70000000000005"/>
    <n v="517.20000000000005"/>
    <n v="347"/>
    <n v="333.1"/>
    <n v="4561.4000000000005"/>
  </r>
  <r>
    <x v="2"/>
    <n v="2022"/>
    <s v="October"/>
    <x v="118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2297.3000000000002"/>
    <n v="538.20000000000005"/>
    <n v="522.1"/>
    <n v="350.79999999999995"/>
    <n v="338.7"/>
    <n v="4579.7"/>
  </r>
  <r>
    <x v="0"/>
    <n v="2022"/>
    <s v="November"/>
    <x v="119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m/>
    <n v="181.9"/>
    <n v="175.5"/>
    <n v="182.3"/>
    <n v="167.5"/>
    <n v="170.8"/>
    <n v="176.9"/>
    <n v="173.4"/>
    <n v="174.6"/>
    <n v="177.8"/>
    <n v="2287.6999999999998"/>
    <n v="559.29999999999995"/>
    <n v="357.4"/>
    <n v="355.70000000000005"/>
    <n v="345.4"/>
    <n v="4445.3999999999996"/>
  </r>
  <r>
    <x v="1"/>
    <n v="2022"/>
    <s v="November"/>
    <x v="119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2314.4"/>
    <n v="514.9"/>
    <n v="519"/>
    <n v="349.6"/>
    <n v="334.1"/>
    <n v="4563.0000000000009"/>
  </r>
  <r>
    <x v="2"/>
    <n v="2022"/>
    <s v="November"/>
    <x v="119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2296.8000000000002"/>
    <n v="541.4"/>
    <n v="524.5"/>
    <n v="353.4"/>
    <n v="339.6"/>
    <n v="4589.3"/>
  </r>
  <r>
    <x v="0"/>
    <n v="2022"/>
    <s v="December"/>
    <x v="120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m/>
    <n v="182.8"/>
    <n v="176.4"/>
    <n v="183.5"/>
    <n v="167.8"/>
    <n v="171.2"/>
    <n v="177.3"/>
    <n v="175.7"/>
    <n v="175.5"/>
    <n v="177.1"/>
    <n v="2277.1"/>
    <n v="561.79999999999995"/>
    <n v="359.20000000000005"/>
    <n v="359.2"/>
    <n v="346.7"/>
    <n v="4444.9999999999991"/>
  </r>
  <r>
    <x v="1"/>
    <n v="2022"/>
    <s v="December"/>
    <x v="120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2295.7999999999997"/>
    <n v="517.9"/>
    <n v="518.59999999999991"/>
    <n v="353.2"/>
    <n v="335.29999999999995"/>
    <n v="4553.0999999999995"/>
  </r>
  <r>
    <x v="2"/>
    <n v="2022"/>
    <s v="December"/>
    <x v="120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2283.4"/>
    <n v="544"/>
    <n v="524.79999999999995"/>
    <n v="356.9"/>
    <n v="340.9"/>
    <n v="4584.7999999999993"/>
  </r>
  <r>
    <x v="0"/>
    <n v="2023"/>
    <s v="January"/>
    <x v="121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m/>
    <n v="183.2"/>
    <n v="177.2"/>
    <n v="184.7"/>
    <n v="168.2"/>
    <n v="171.8"/>
    <n v="177.8"/>
    <n v="178.4"/>
    <n v="176.5"/>
    <n v="177.8"/>
    <n v="2283.2000000000003"/>
    <n v="563.9"/>
    <n v="360.4"/>
    <n v="363.1"/>
    <n v="348.3"/>
    <n v="4461.8000000000011"/>
  </r>
  <r>
    <x v="1"/>
    <n v="2023"/>
    <s v="January"/>
    <x v="121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2310.2000000000003"/>
    <n v="520.6"/>
    <n v="520.20000000000005"/>
    <n v="357.3"/>
    <n v="336.70000000000005"/>
    <n v="4577.9000000000005"/>
  </r>
  <r>
    <x v="2"/>
    <n v="2023"/>
    <s v="January"/>
    <x v="121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2292.6999999999998"/>
    <n v="546.29999999999995"/>
    <n v="527"/>
    <n v="360.9"/>
    <n v="342.3"/>
    <n v="4605.2999999999993"/>
  </r>
  <r>
    <x v="0"/>
    <n v="2023"/>
    <s v="February"/>
    <x v="122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m/>
    <n v="181.6"/>
    <n v="178.6"/>
    <n v="186.6"/>
    <n v="169"/>
    <n v="172.8"/>
    <n v="178.5"/>
    <n v="180.7"/>
    <n v="177.9"/>
    <n v="178"/>
    <n v="2265.6999999999998"/>
    <n v="566.6"/>
    <n v="360.2"/>
    <n v="367.29999999999995"/>
    <n v="350.70000000000005"/>
    <n v="4456.2999999999993"/>
  </r>
  <r>
    <x v="1"/>
    <n v="2023"/>
    <s v="February"/>
    <x v="122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2303.1999999999998"/>
    <n v="525.5"/>
    <n v="525.5"/>
    <n v="362.20000000000005"/>
    <n v="338.4"/>
    <n v="4589.7999999999993"/>
  </r>
  <r>
    <x v="2"/>
    <n v="2023"/>
    <s v="February"/>
    <x v="122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2279.1"/>
    <n v="550"/>
    <n v="529.79999999999995"/>
    <n v="365.4"/>
    <n v="344.4"/>
    <n v="4607.3999999999996"/>
  </r>
  <r>
    <x v="0"/>
    <n v="2023"/>
    <s v="March"/>
    <x v="123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m/>
    <n v="181.4"/>
    <n v="178.6"/>
    <n v="186.6"/>
    <n v="169"/>
    <n v="172.8"/>
    <n v="178.5"/>
    <n v="180.7"/>
    <n v="177.9"/>
    <n v="178"/>
    <n v="2265.8000000000002"/>
    <n v="566.6"/>
    <n v="360"/>
    <n v="367.29999999999995"/>
    <n v="350.70000000000005"/>
    <n v="4456.3"/>
  </r>
  <r>
    <x v="1"/>
    <n v="2023"/>
    <s v="March"/>
    <x v="123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2303.4"/>
    <n v="525.4"/>
    <n v="525.29999999999995"/>
    <n v="362.3"/>
    <n v="338.4"/>
    <n v="4589.8"/>
  </r>
  <r>
    <x v="2"/>
    <n v="2023"/>
    <s v="March"/>
    <x v="123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2279.1999999999998"/>
    <n v="549.9"/>
    <n v="529.59999999999991"/>
    <n v="365.4"/>
    <n v="344.4"/>
    <n v="4607.1999999999989"/>
  </r>
  <r>
    <x v="0"/>
    <n v="2023"/>
    <s v="April"/>
    <x v="124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  <n v="2274.1999999999998"/>
    <n v="568.20000000000005"/>
    <n v="360.6"/>
    <n v="371"/>
    <n v="352.1"/>
    <n v="4474.3999999999996"/>
  </r>
  <r>
    <x v="1"/>
    <n v="2023"/>
    <s v="April"/>
    <x v="124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2317.7000000000003"/>
    <n v="527.6"/>
    <n v="526.9"/>
    <n v="365.9"/>
    <n v="339.70000000000005"/>
    <n v="4615.5999999999995"/>
  </r>
  <r>
    <x v="2"/>
    <n v="2023"/>
    <s v="April"/>
    <x v="124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  <n v="2289.6000000000004"/>
    <n v="551.79999999999995"/>
    <n v="531.5"/>
    <n v="369"/>
    <n v="345.7"/>
    <n v="4629.1000000000004"/>
  </r>
  <r>
    <x v="0"/>
    <n v="2023"/>
    <s v="May"/>
    <x v="125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  <n v="2290.7000000000007"/>
    <n v="569.90000000000009"/>
    <n v="362.3"/>
    <n v="372.70000000000005"/>
    <n v="353.3"/>
    <n v="4498.8000000000011"/>
  </r>
  <r>
    <x v="1"/>
    <n v="2023"/>
    <s v="May"/>
    <x v="125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2335.1"/>
    <n v="528.70000000000005"/>
    <n v="529.1"/>
    <n v="367.79999999999995"/>
    <n v="340.79999999999995"/>
    <n v="4640.8999999999996"/>
  </r>
  <r>
    <x v="2"/>
    <n v="2023"/>
    <s v="May"/>
    <x v="125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2306.9"/>
    <n v="553.20000000000005"/>
    <n v="533.59999999999991"/>
    <n v="370.9"/>
    <n v="346.9"/>
    <n v="4654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C4:G19" firstHeaderRow="1" firstDataRow="2" firstDataCol="1"/>
  <pivotFields count="37"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127">
        <item h="1" x="3"/>
        <item h="1" x="7"/>
        <item h="1" x="12"/>
        <item h="1" x="1"/>
        <item h="1" x="0"/>
        <item h="1" x="6"/>
        <item h="1" x="5"/>
        <item h="1" x="2"/>
        <item h="1" x="4"/>
        <item h="1" x="11"/>
        <item h="1" x="10"/>
        <item h="1" x="9"/>
        <item h="1" x="8"/>
        <item h="1" x="17"/>
        <item h="1" x="21"/>
        <item h="1" x="25"/>
        <item h="1" x="14"/>
        <item h="1" x="13"/>
        <item h="1" x="20"/>
        <item h="1" x="19"/>
        <item h="1" x="15"/>
        <item h="1" x="16"/>
        <item h="1" x="18"/>
        <item h="1" x="24"/>
        <item h="1" x="23"/>
        <item h="1" x="22"/>
        <item h="1" x="29"/>
        <item h="1" x="33"/>
        <item h="1" x="37"/>
        <item h="1" x="27"/>
        <item h="1" x="26"/>
        <item h="1" x="32"/>
        <item h="1" x="31"/>
        <item h="1" x="28"/>
        <item h="1" x="30"/>
        <item h="1" x="36"/>
        <item h="1" x="35"/>
        <item h="1" x="34"/>
        <item h="1" x="41"/>
        <item h="1" x="45"/>
        <item h="1" x="49"/>
        <item h="1" x="39"/>
        <item h="1" x="38"/>
        <item h="1" x="44"/>
        <item h="1" x="43"/>
        <item h="1" x="40"/>
        <item h="1" x="42"/>
        <item h="1" x="48"/>
        <item h="1" x="47"/>
        <item h="1" x="46"/>
        <item h="1" x="53"/>
        <item h="1" x="57"/>
        <item h="1" x="61"/>
        <item h="1" x="51"/>
        <item h="1" x="50"/>
        <item h="1" x="56"/>
        <item h="1" x="55"/>
        <item h="1" x="52"/>
        <item h="1" x="54"/>
        <item h="1" x="60"/>
        <item h="1" x="59"/>
        <item h="1" x="58"/>
        <item h="1" x="65"/>
        <item h="1" x="69"/>
        <item h="1" x="73"/>
        <item h="1" x="63"/>
        <item h="1" x="62"/>
        <item h="1" x="68"/>
        <item h="1" x="67"/>
        <item h="1" x="64"/>
        <item h="1" x="66"/>
        <item h="1" x="72"/>
        <item h="1" x="71"/>
        <item h="1" x="70"/>
        <item h="1" x="80"/>
        <item h="1" x="84"/>
        <item h="1" x="75"/>
        <item h="1" x="74"/>
        <item h="1" x="79"/>
        <item h="1" x="78"/>
        <item h="1" x="76"/>
        <item h="1" x="77"/>
        <item h="1" x="83"/>
        <item h="1" x="82"/>
        <item h="1" x="81"/>
        <item h="1" x="88"/>
        <item h="1" x="92"/>
        <item h="1" x="96"/>
        <item h="1" x="86"/>
        <item h="1" x="85"/>
        <item h="1" x="91"/>
        <item h="1" x="90"/>
        <item h="1" x="87"/>
        <item h="1" x="89"/>
        <item h="1" x="95"/>
        <item h="1" x="94"/>
        <item h="1" x="93"/>
        <item h="1" x="100"/>
        <item h="1" x="104"/>
        <item h="1" x="108"/>
        <item h="1" x="98"/>
        <item h="1" x="97"/>
        <item h="1" x="103"/>
        <item h="1" x="102"/>
        <item h="1" x="99"/>
        <item h="1" x="101"/>
        <item h="1" x="107"/>
        <item h="1" x="106"/>
        <item h="1" x="105"/>
        <item h="1" x="112"/>
        <item x="116"/>
        <item x="120"/>
        <item h="1" x="110"/>
        <item h="1" x="109"/>
        <item x="115"/>
        <item x="114"/>
        <item h="1" x="111"/>
        <item x="113"/>
        <item x="119"/>
        <item x="118"/>
        <item x="117"/>
        <item x="124"/>
        <item x="122"/>
        <item x="121"/>
        <item x="123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4">
    <i>
      <x v="110"/>
    </i>
    <i>
      <x v="111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Food &amp; Beverages" fld="3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AK376" totalsRowShown="0" headerRowDxfId="34">
  <tableColumns count="37">
    <tableColumn id="1" name="Sector"/>
    <tableColumn id="2" name="Year"/>
    <tableColumn id="3" name="Month"/>
    <tableColumn id="4" name="Year_month" dataDxfId="33"/>
    <tableColumn id="5" name="Cereals and products" dataDxfId="32"/>
    <tableColumn id="6" name="Meat and fish" dataDxfId="31"/>
    <tableColumn id="7" name="Egg" dataDxfId="30"/>
    <tableColumn id="8" name="Milk and products" dataDxfId="29"/>
    <tableColumn id="9" name="Oils and fats" dataDxfId="28"/>
    <tableColumn id="10" name="Fruits" dataDxfId="27"/>
    <tableColumn id="11" name="Vegetables" dataDxfId="26"/>
    <tableColumn id="12" name="Pulses and products" dataDxfId="25"/>
    <tableColumn id="13" name="Sugar and Confectionery" dataDxfId="24"/>
    <tableColumn id="14" name="Spices" dataDxfId="23"/>
    <tableColumn id="15" name="Non-alcoholic beverages" dataDxfId="22"/>
    <tableColumn id="16" name="Prepared meals, scks, sweets etc." dataDxfId="21"/>
    <tableColumn id="17" name="Food and beverages" dataDxfId="20"/>
    <tableColumn id="18" name="Pan, tobacco and intoxicants" dataDxfId="19"/>
    <tableColumn id="19" name="Clothing" dataDxfId="18"/>
    <tableColumn id="20" name="Footwear" dataDxfId="17"/>
    <tableColumn id="21" name="Clothing and footwear" dataDxfId="16"/>
    <tableColumn id="22" name="Housing" dataDxfId="15"/>
    <tableColumn id="23" name="Fuel and light" dataDxfId="14"/>
    <tableColumn id="24" name="Household goods and services" dataDxfId="13"/>
    <tableColumn id="25" name="Health" dataDxfId="12"/>
    <tableColumn id="26" name="Transport and communication" dataDxfId="11"/>
    <tableColumn id="27" name="Recreation and amusement" dataDxfId="10"/>
    <tableColumn id="28" name="Education" dataDxfId="9"/>
    <tableColumn id="29" name="Persol care and effects" dataDxfId="8"/>
    <tableColumn id="30" name="Miscellaneous" dataDxfId="7"/>
    <tableColumn id="31" name="General index" dataDxfId="6"/>
    <tableColumn id="32" name="Food &amp; Beverages" dataDxfId="5"/>
    <tableColumn id="33" name="Clothing &amp; Footwear" dataDxfId="4"/>
    <tableColumn id="34" name="Housing, Fuel &amp; Utilities" dataDxfId="3"/>
    <tableColumn id="35" name="Health &amp; Personal Care" dataDxfId="2"/>
    <tableColumn id="36" name="Miscellaneous, Recreation &amp; Amusement" dataDxfId="1"/>
    <tableColumn id="37" name="Total CP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3"/>
  <sheetViews>
    <sheetView workbookViewId="0">
      <selection activeCell="L368" sqref="L368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2013</v>
      </c>
      <c r="C2" t="s">
        <v>32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33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v>1371.7</v>
      </c>
    </row>
    <row r="3" spans="1:31" x14ac:dyDescent="0.25">
      <c r="A3" t="s">
        <v>34</v>
      </c>
      <c r="B3">
        <v>2013</v>
      </c>
      <c r="C3" t="s">
        <v>32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v>1376.4</v>
      </c>
    </row>
    <row r="4" spans="1:31" x14ac:dyDescent="0.25">
      <c r="A4" t="s">
        <v>35</v>
      </c>
      <c r="B4">
        <v>2013</v>
      </c>
      <c r="C4" t="s">
        <v>32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v>1373.3</v>
      </c>
    </row>
    <row r="5" spans="1:31" x14ac:dyDescent="0.25">
      <c r="A5" t="s">
        <v>31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33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v>1380.4</v>
      </c>
    </row>
    <row r="6" spans="1:31" x14ac:dyDescent="0.25">
      <c r="A6" t="s">
        <v>34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v>1390.6</v>
      </c>
    </row>
    <row r="7" spans="1:31" x14ac:dyDescent="0.25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v>1384.2</v>
      </c>
    </row>
    <row r="8" spans="1:31" x14ac:dyDescent="0.25">
      <c r="A8" t="s">
        <v>31</v>
      </c>
      <c r="B8">
        <v>2013</v>
      </c>
      <c r="C8" t="s">
        <v>37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33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v>1382.2</v>
      </c>
    </row>
    <row r="9" spans="1:31" x14ac:dyDescent="0.25">
      <c r="A9" t="s">
        <v>34</v>
      </c>
      <c r="B9">
        <v>2013</v>
      </c>
      <c r="C9" t="s">
        <v>37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v>1386.8</v>
      </c>
    </row>
    <row r="10" spans="1:31" x14ac:dyDescent="0.25">
      <c r="A10" t="s">
        <v>35</v>
      </c>
      <c r="B10">
        <v>2013</v>
      </c>
      <c r="C10" t="s">
        <v>37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v>1384</v>
      </c>
    </row>
    <row r="11" spans="1:31" x14ac:dyDescent="0.25">
      <c r="A11" t="s">
        <v>31</v>
      </c>
      <c r="B11">
        <v>2013</v>
      </c>
      <c r="C11" t="s">
        <v>38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33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v>1385.8</v>
      </c>
    </row>
    <row r="12" spans="1:31" x14ac:dyDescent="0.25">
      <c r="A12" t="s">
        <v>34</v>
      </c>
      <c r="B12">
        <v>2013</v>
      </c>
      <c r="C12" t="s">
        <v>38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v>1397.7</v>
      </c>
    </row>
    <row r="13" spans="1:31" x14ac:dyDescent="0.25">
      <c r="A13" t="s">
        <v>35</v>
      </c>
      <c r="B13">
        <v>2013</v>
      </c>
      <c r="C13" t="s">
        <v>38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v>1390.2</v>
      </c>
    </row>
    <row r="14" spans="1:31" x14ac:dyDescent="0.25">
      <c r="A14" t="s">
        <v>31</v>
      </c>
      <c r="B14">
        <v>2013</v>
      </c>
      <c r="C14" t="s">
        <v>39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33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v>1394</v>
      </c>
    </row>
    <row r="15" spans="1:31" x14ac:dyDescent="0.25">
      <c r="A15" t="s">
        <v>34</v>
      </c>
      <c r="B15">
        <v>2013</v>
      </c>
      <c r="C15" t="s">
        <v>39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v>1417.2</v>
      </c>
    </row>
    <row r="16" spans="1:31" x14ac:dyDescent="0.25">
      <c r="A16" t="s">
        <v>35</v>
      </c>
      <c r="B16">
        <v>2013</v>
      </c>
      <c r="C16" t="s">
        <v>39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v>1402.2</v>
      </c>
    </row>
    <row r="17" spans="1:31" x14ac:dyDescent="0.25">
      <c r="A17" t="s">
        <v>31</v>
      </c>
      <c r="B17">
        <v>2013</v>
      </c>
      <c r="C17" t="s">
        <v>40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33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v>1420</v>
      </c>
    </row>
    <row r="18" spans="1:31" x14ac:dyDescent="0.25">
      <c r="A18" t="s">
        <v>34</v>
      </c>
      <c r="B18">
        <v>2013</v>
      </c>
      <c r="C18" t="s">
        <v>40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v>1464.6</v>
      </c>
    </row>
    <row r="19" spans="1:31" x14ac:dyDescent="0.25">
      <c r="A19" t="s">
        <v>35</v>
      </c>
      <c r="B19">
        <v>2013</v>
      </c>
      <c r="C19" t="s">
        <v>40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v>1436</v>
      </c>
    </row>
    <row r="20" spans="1:31" x14ac:dyDescent="0.25">
      <c r="A20" t="s">
        <v>31</v>
      </c>
      <c r="B20">
        <v>2013</v>
      </c>
      <c r="C20" t="s">
        <v>41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33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v>1445.9</v>
      </c>
    </row>
    <row r="21" spans="1:31" x14ac:dyDescent="0.25">
      <c r="A21" t="s">
        <v>34</v>
      </c>
      <c r="B21">
        <v>2013</v>
      </c>
      <c r="C21" t="s">
        <v>41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v>1489.4</v>
      </c>
    </row>
    <row r="22" spans="1:31" x14ac:dyDescent="0.25">
      <c r="A22" t="s">
        <v>35</v>
      </c>
      <c r="B22">
        <v>2013</v>
      </c>
      <c r="C22" t="s">
        <v>41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v>1461.4</v>
      </c>
    </row>
    <row r="23" spans="1:31" x14ac:dyDescent="0.25">
      <c r="A23" t="s">
        <v>31</v>
      </c>
      <c r="B23">
        <v>2013</v>
      </c>
      <c r="C23" t="s">
        <v>42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33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v>1462.5</v>
      </c>
    </row>
    <row r="24" spans="1:31" x14ac:dyDescent="0.25">
      <c r="A24" t="s">
        <v>34</v>
      </c>
      <c r="B24">
        <v>2013</v>
      </c>
      <c r="C24" t="s">
        <v>42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v>1506.1</v>
      </c>
    </row>
    <row r="25" spans="1:31" x14ac:dyDescent="0.25">
      <c r="A25" t="s">
        <v>35</v>
      </c>
      <c r="B25">
        <v>2013</v>
      </c>
      <c r="C25" t="s">
        <v>42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v>1477.4</v>
      </c>
    </row>
    <row r="26" spans="1:31" x14ac:dyDescent="0.25">
      <c r="A26" t="s">
        <v>31</v>
      </c>
      <c r="B26">
        <v>2013</v>
      </c>
      <c r="C26" t="s">
        <v>43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33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v>1488.5</v>
      </c>
    </row>
    <row r="27" spans="1:31" x14ac:dyDescent="0.25">
      <c r="A27" t="s">
        <v>34</v>
      </c>
      <c r="B27">
        <v>2013</v>
      </c>
      <c r="C27" t="s">
        <v>43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v>1500.4</v>
      </c>
    </row>
    <row r="28" spans="1:31" x14ac:dyDescent="0.25">
      <c r="A28" t="s">
        <v>35</v>
      </c>
      <c r="B28">
        <v>2013</v>
      </c>
      <c r="C28" t="s">
        <v>43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v>1491.7</v>
      </c>
    </row>
    <row r="29" spans="1:31" x14ac:dyDescent="0.25">
      <c r="A29" t="s">
        <v>31</v>
      </c>
      <c r="B29">
        <v>2013</v>
      </c>
      <c r="C29" t="s">
        <v>44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33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v>1508</v>
      </c>
    </row>
    <row r="30" spans="1:31" x14ac:dyDescent="0.25">
      <c r="A30" t="s">
        <v>34</v>
      </c>
      <c r="B30">
        <v>2013</v>
      </c>
      <c r="C30" t="s">
        <v>44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v>1517.2</v>
      </c>
    </row>
    <row r="31" spans="1:31" x14ac:dyDescent="0.25">
      <c r="A31" t="s">
        <v>35</v>
      </c>
      <c r="B31">
        <v>2013</v>
      </c>
      <c r="C31" t="s">
        <v>44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v>1510.2</v>
      </c>
    </row>
    <row r="32" spans="1:31" x14ac:dyDescent="0.25">
      <c r="A32" t="s">
        <v>31</v>
      </c>
      <c r="B32">
        <v>2013</v>
      </c>
      <c r="C32" t="s">
        <v>45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33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v>1536.8</v>
      </c>
    </row>
    <row r="33" spans="1:31" x14ac:dyDescent="0.25">
      <c r="A33" t="s">
        <v>34</v>
      </c>
      <c r="B33">
        <v>2013</v>
      </c>
      <c r="C33" t="s">
        <v>46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v>1544.6</v>
      </c>
    </row>
    <row r="34" spans="1:31" x14ac:dyDescent="0.25">
      <c r="A34" t="s">
        <v>35</v>
      </c>
      <c r="B34">
        <v>2013</v>
      </c>
      <c r="C34" t="s">
        <v>46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v>1538.8</v>
      </c>
    </row>
    <row r="35" spans="1:31" x14ac:dyDescent="0.25">
      <c r="A35" t="s">
        <v>31</v>
      </c>
      <c r="B35">
        <v>2013</v>
      </c>
      <c r="C35" t="s">
        <v>47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33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v>1509</v>
      </c>
    </row>
    <row r="36" spans="1:31" x14ac:dyDescent="0.25">
      <c r="A36" t="s">
        <v>34</v>
      </c>
      <c r="B36">
        <v>2013</v>
      </c>
      <c r="C36" t="s">
        <v>47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v>1504.4</v>
      </c>
    </row>
    <row r="37" spans="1:31" x14ac:dyDescent="0.25">
      <c r="A37" t="s">
        <v>35</v>
      </c>
      <c r="B37">
        <v>2013</v>
      </c>
      <c r="C37" t="s">
        <v>47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v>1507.3</v>
      </c>
    </row>
    <row r="38" spans="1:31" x14ac:dyDescent="0.25">
      <c r="A38" t="s">
        <v>31</v>
      </c>
      <c r="B38">
        <v>2014</v>
      </c>
      <c r="C38" t="s">
        <v>32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33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v>1486.6</v>
      </c>
    </row>
    <row r="39" spans="1:31" x14ac:dyDescent="0.25">
      <c r="A39" t="s">
        <v>34</v>
      </c>
      <c r="B39">
        <v>2014</v>
      </c>
      <c r="C39" t="s">
        <v>32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v>1484.3</v>
      </c>
    </row>
    <row r="40" spans="1:31" x14ac:dyDescent="0.25">
      <c r="A40" t="s">
        <v>35</v>
      </c>
      <c r="B40">
        <v>2014</v>
      </c>
      <c r="C40" t="s">
        <v>32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v>1485.8</v>
      </c>
    </row>
    <row r="41" spans="1:31" x14ac:dyDescent="0.25">
      <c r="A41" t="s">
        <v>31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33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v>1482.2</v>
      </c>
    </row>
    <row r="42" spans="1:31" x14ac:dyDescent="0.25">
      <c r="A42" t="s">
        <v>34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v>1476</v>
      </c>
    </row>
    <row r="43" spans="1:31" x14ac:dyDescent="0.25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v>1480.1</v>
      </c>
    </row>
    <row r="44" spans="1:31" x14ac:dyDescent="0.25">
      <c r="A44" t="s">
        <v>31</v>
      </c>
      <c r="B44">
        <v>2014</v>
      </c>
      <c r="C44" t="s">
        <v>37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33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v>1491.4</v>
      </c>
    </row>
    <row r="45" spans="1:31" x14ac:dyDescent="0.25">
      <c r="A45" t="s">
        <v>34</v>
      </c>
      <c r="B45">
        <v>2014</v>
      </c>
      <c r="C45" t="s">
        <v>37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v>1483</v>
      </c>
    </row>
    <row r="46" spans="1:31" x14ac:dyDescent="0.25">
      <c r="A46" t="s">
        <v>35</v>
      </c>
      <c r="B46">
        <v>2014</v>
      </c>
      <c r="C46" t="s">
        <v>48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v>1488.3</v>
      </c>
    </row>
    <row r="47" spans="1:31" x14ac:dyDescent="0.25">
      <c r="A47" t="s">
        <v>31</v>
      </c>
      <c r="B47">
        <v>2014</v>
      </c>
      <c r="C47" t="s">
        <v>38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33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v>1504.1</v>
      </c>
    </row>
    <row r="48" spans="1:31" x14ac:dyDescent="0.25">
      <c r="A48" t="s">
        <v>34</v>
      </c>
      <c r="B48">
        <v>2014</v>
      </c>
      <c r="C48" t="s">
        <v>38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v>1504</v>
      </c>
    </row>
    <row r="49" spans="1:31" x14ac:dyDescent="0.25">
      <c r="A49" t="s">
        <v>35</v>
      </c>
      <c r="B49">
        <v>2014</v>
      </c>
      <c r="C49" t="s">
        <v>38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v>1504.1</v>
      </c>
    </row>
    <row r="50" spans="1:31" x14ac:dyDescent="0.25">
      <c r="A50" t="s">
        <v>31</v>
      </c>
      <c r="B50">
        <v>2014</v>
      </c>
      <c r="C50" t="s">
        <v>39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33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v>1513.9</v>
      </c>
    </row>
    <row r="51" spans="1:31" x14ac:dyDescent="0.25">
      <c r="A51" t="s">
        <v>34</v>
      </c>
      <c r="B51">
        <v>2014</v>
      </c>
      <c r="C51" t="s">
        <v>39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v>1525.3</v>
      </c>
    </row>
    <row r="52" spans="1:31" x14ac:dyDescent="0.25">
      <c r="A52" t="s">
        <v>35</v>
      </c>
      <c r="B52">
        <v>2014</v>
      </c>
      <c r="C52" t="s">
        <v>39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v>1518.5</v>
      </c>
    </row>
    <row r="53" spans="1:31" x14ac:dyDescent="0.25">
      <c r="A53" t="s">
        <v>31</v>
      </c>
      <c r="B53">
        <v>2014</v>
      </c>
      <c r="C53" t="s">
        <v>40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33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v>1525.7</v>
      </c>
    </row>
    <row r="54" spans="1:31" x14ac:dyDescent="0.25">
      <c r="A54" t="s">
        <v>34</v>
      </c>
      <c r="B54">
        <v>2014</v>
      </c>
      <c r="C54" t="s">
        <v>40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v>1547</v>
      </c>
    </row>
    <row r="55" spans="1:31" x14ac:dyDescent="0.25">
      <c r="A55" t="s">
        <v>35</v>
      </c>
      <c r="B55">
        <v>2014</v>
      </c>
      <c r="C55" t="s">
        <v>40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v>1533.7</v>
      </c>
    </row>
    <row r="56" spans="1:31" x14ac:dyDescent="0.25">
      <c r="A56" t="s">
        <v>31</v>
      </c>
      <c r="B56">
        <v>2014</v>
      </c>
      <c r="C56" t="s">
        <v>41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33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v>1563.2</v>
      </c>
    </row>
    <row r="57" spans="1:31" x14ac:dyDescent="0.25">
      <c r="A57" t="s">
        <v>34</v>
      </c>
      <c r="B57">
        <v>2014</v>
      </c>
      <c r="C57" t="s">
        <v>41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v>1599.5</v>
      </c>
    </row>
    <row r="58" spans="1:31" x14ac:dyDescent="0.25">
      <c r="A58" t="s">
        <v>35</v>
      </c>
      <c r="B58">
        <v>2014</v>
      </c>
      <c r="C58" t="s">
        <v>41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v>1576.3</v>
      </c>
    </row>
    <row r="59" spans="1:31" x14ac:dyDescent="0.25">
      <c r="A59" t="s">
        <v>31</v>
      </c>
      <c r="B59">
        <v>2014</v>
      </c>
      <c r="C59" t="s">
        <v>42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33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v>1582.3</v>
      </c>
    </row>
    <row r="60" spans="1:31" x14ac:dyDescent="0.25">
      <c r="A60" t="s">
        <v>34</v>
      </c>
      <c r="B60">
        <v>2014</v>
      </c>
      <c r="C60" t="s">
        <v>42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v>1617</v>
      </c>
    </row>
    <row r="61" spans="1:31" x14ac:dyDescent="0.25">
      <c r="A61" t="s">
        <v>35</v>
      </c>
      <c r="B61">
        <v>2014</v>
      </c>
      <c r="C61" t="s">
        <v>42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v>1594.5</v>
      </c>
    </row>
    <row r="62" spans="1:31" x14ac:dyDescent="0.25">
      <c r="A62" t="s">
        <v>31</v>
      </c>
      <c r="B62">
        <v>2014</v>
      </c>
      <c r="C62" t="s">
        <v>43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33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v>1583.2</v>
      </c>
    </row>
    <row r="63" spans="1:31" x14ac:dyDescent="0.25">
      <c r="A63" t="s">
        <v>34</v>
      </c>
      <c r="B63">
        <v>2014</v>
      </c>
      <c r="C63" t="s">
        <v>43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v>1593.7</v>
      </c>
    </row>
    <row r="64" spans="1:31" x14ac:dyDescent="0.25">
      <c r="A64" t="s">
        <v>35</v>
      </c>
      <c r="B64">
        <v>2014</v>
      </c>
      <c r="C64" t="s">
        <v>43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v>1586.1</v>
      </c>
    </row>
    <row r="65" spans="1:31" x14ac:dyDescent="0.25">
      <c r="A65" t="s">
        <v>31</v>
      </c>
      <c r="B65">
        <v>2014</v>
      </c>
      <c r="C65" t="s">
        <v>44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33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v>1581.2</v>
      </c>
    </row>
    <row r="66" spans="1:31" x14ac:dyDescent="0.25">
      <c r="A66" t="s">
        <v>34</v>
      </c>
      <c r="B66">
        <v>2014</v>
      </c>
      <c r="C66" t="s">
        <v>44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v>1587.5</v>
      </c>
    </row>
    <row r="67" spans="1:31" x14ac:dyDescent="0.25">
      <c r="A67" t="s">
        <v>35</v>
      </c>
      <c r="B67">
        <v>2014</v>
      </c>
      <c r="C67" t="s">
        <v>44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v>1582.7</v>
      </c>
    </row>
    <row r="68" spans="1:31" x14ac:dyDescent="0.25">
      <c r="A68" t="s">
        <v>31</v>
      </c>
      <c r="B68">
        <v>2014</v>
      </c>
      <c r="C68" t="s">
        <v>46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33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v>1582</v>
      </c>
    </row>
    <row r="69" spans="1:31" x14ac:dyDescent="0.25">
      <c r="A69" t="s">
        <v>34</v>
      </c>
      <c r="B69">
        <v>2014</v>
      </c>
      <c r="C69" t="s">
        <v>46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v>1587.8</v>
      </c>
    </row>
    <row r="70" spans="1:31" x14ac:dyDescent="0.25">
      <c r="A70" t="s">
        <v>35</v>
      </c>
      <c r="B70">
        <v>2014</v>
      </c>
      <c r="C70" t="s">
        <v>46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v>1583.2</v>
      </c>
    </row>
    <row r="71" spans="1:31" x14ac:dyDescent="0.25">
      <c r="A71" t="s">
        <v>31</v>
      </c>
      <c r="B71">
        <v>2014</v>
      </c>
      <c r="C71" t="s">
        <v>47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33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v>1569.6</v>
      </c>
    </row>
    <row r="72" spans="1:31" x14ac:dyDescent="0.25">
      <c r="A72" t="s">
        <v>34</v>
      </c>
      <c r="B72">
        <v>2014</v>
      </c>
      <c r="C72" t="s">
        <v>47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v>1577.2</v>
      </c>
    </row>
    <row r="73" spans="1:31" x14ac:dyDescent="0.25">
      <c r="A73" t="s">
        <v>35</v>
      </c>
      <c r="B73">
        <v>2014</v>
      </c>
      <c r="C73" t="s">
        <v>47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v>1571.7</v>
      </c>
    </row>
    <row r="74" spans="1:31" x14ac:dyDescent="0.25">
      <c r="A74" t="s">
        <v>31</v>
      </c>
      <c r="B74">
        <v>2015</v>
      </c>
      <c r="C74" t="s">
        <v>32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33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v>1568.1</v>
      </c>
    </row>
    <row r="75" spans="1:31" x14ac:dyDescent="0.25">
      <c r="A75" t="s">
        <v>34</v>
      </c>
      <c r="B75">
        <v>2015</v>
      </c>
      <c r="C75" t="s">
        <v>32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v>1574.9</v>
      </c>
    </row>
    <row r="76" spans="1:31" x14ac:dyDescent="0.25">
      <c r="A76" t="s">
        <v>35</v>
      </c>
      <c r="B76">
        <v>2015</v>
      </c>
      <c r="C76" t="s">
        <v>32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v>1569.3</v>
      </c>
    </row>
    <row r="77" spans="1:31" x14ac:dyDescent="0.25">
      <c r="A77" t="s">
        <v>31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33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v>1570.6</v>
      </c>
    </row>
    <row r="78" spans="1:31" x14ac:dyDescent="0.25">
      <c r="A78" t="s">
        <v>34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v>1571.1</v>
      </c>
    </row>
    <row r="79" spans="1:31" x14ac:dyDescent="0.25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v>1569.4</v>
      </c>
    </row>
    <row r="80" spans="1:31" x14ac:dyDescent="0.25">
      <c r="A80" t="s">
        <v>31</v>
      </c>
      <c r="B80">
        <v>2015</v>
      </c>
      <c r="C80" t="s">
        <v>37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33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v>1571.5</v>
      </c>
    </row>
    <row r="81" spans="1:31" x14ac:dyDescent="0.25">
      <c r="A81" t="s">
        <v>34</v>
      </c>
      <c r="B81">
        <v>2015</v>
      </c>
      <c r="C81" t="s">
        <v>37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v>1568</v>
      </c>
    </row>
    <row r="82" spans="1:31" x14ac:dyDescent="0.25">
      <c r="A82" t="s">
        <v>35</v>
      </c>
      <c r="B82">
        <v>2015</v>
      </c>
      <c r="C82" t="s">
        <v>37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v>1569.1</v>
      </c>
    </row>
    <row r="83" spans="1:31" x14ac:dyDescent="0.25">
      <c r="A83" t="s">
        <v>31</v>
      </c>
      <c r="B83">
        <v>2015</v>
      </c>
      <c r="C83" t="s">
        <v>38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33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v>1577.2</v>
      </c>
    </row>
    <row r="84" spans="1:31" x14ac:dyDescent="0.25">
      <c r="A84" t="s">
        <v>34</v>
      </c>
      <c r="B84">
        <v>2015</v>
      </c>
      <c r="C84" t="s">
        <v>38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v>1576.1</v>
      </c>
    </row>
    <row r="85" spans="1:31" x14ac:dyDescent="0.25">
      <c r="A85" t="s">
        <v>35</v>
      </c>
      <c r="B85">
        <v>2015</v>
      </c>
      <c r="C85" t="s">
        <v>38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v>1575.7</v>
      </c>
    </row>
    <row r="86" spans="1:31" x14ac:dyDescent="0.25">
      <c r="A86" t="s">
        <v>31</v>
      </c>
      <c r="B86">
        <v>2015</v>
      </c>
      <c r="C86" t="s">
        <v>39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33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v>1587.7</v>
      </c>
    </row>
    <row r="87" spans="1:31" x14ac:dyDescent="0.25">
      <c r="A87" t="s">
        <v>34</v>
      </c>
      <c r="B87">
        <v>2015</v>
      </c>
      <c r="C87" t="s">
        <v>39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v>1598.9</v>
      </c>
    </row>
    <row r="88" spans="1:31" x14ac:dyDescent="0.25">
      <c r="A88" t="s">
        <v>35</v>
      </c>
      <c r="B88">
        <v>2015</v>
      </c>
      <c r="C88" t="s">
        <v>39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v>1590.4</v>
      </c>
    </row>
    <row r="89" spans="1:31" x14ac:dyDescent="0.25">
      <c r="A89" t="s">
        <v>31</v>
      </c>
      <c r="B89">
        <v>2015</v>
      </c>
      <c r="C89" t="s">
        <v>40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33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v>1617.9</v>
      </c>
    </row>
    <row r="90" spans="1:31" x14ac:dyDescent="0.25">
      <c r="A90" t="s">
        <v>34</v>
      </c>
      <c r="B90">
        <v>2015</v>
      </c>
      <c r="C90" t="s">
        <v>40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v>1636.6</v>
      </c>
    </row>
    <row r="91" spans="1:31" x14ac:dyDescent="0.25">
      <c r="A91" t="s">
        <v>35</v>
      </c>
      <c r="B91">
        <v>2015</v>
      </c>
      <c r="C91" t="s">
        <v>40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v>1623.5</v>
      </c>
    </row>
    <row r="92" spans="1:31" x14ac:dyDescent="0.25">
      <c r="A92" t="s">
        <v>31</v>
      </c>
      <c r="B92">
        <v>2015</v>
      </c>
      <c r="C92" t="s">
        <v>41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33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v>1625.3</v>
      </c>
    </row>
    <row r="93" spans="1:31" x14ac:dyDescent="0.25">
      <c r="A93" t="s">
        <v>34</v>
      </c>
      <c r="B93">
        <v>2015</v>
      </c>
      <c r="C93" t="s">
        <v>41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v>1642.9</v>
      </c>
    </row>
    <row r="94" spans="1:31" x14ac:dyDescent="0.25">
      <c r="A94" t="s">
        <v>35</v>
      </c>
      <c r="B94">
        <v>2015</v>
      </c>
      <c r="C94" t="s">
        <v>41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v>1630.6</v>
      </c>
    </row>
    <row r="95" spans="1:31" x14ac:dyDescent="0.25">
      <c r="A95" t="s">
        <v>31</v>
      </c>
      <c r="B95">
        <v>2015</v>
      </c>
      <c r="C95" t="s">
        <v>42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33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v>1646.6</v>
      </c>
    </row>
    <row r="96" spans="1:31" x14ac:dyDescent="0.25">
      <c r="A96" t="s">
        <v>34</v>
      </c>
      <c r="B96">
        <v>2015</v>
      </c>
      <c r="C96" t="s">
        <v>42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v>1658.9</v>
      </c>
    </row>
    <row r="97" spans="1:31" x14ac:dyDescent="0.25">
      <c r="A97" t="s">
        <v>35</v>
      </c>
      <c r="B97">
        <v>2015</v>
      </c>
      <c r="C97" t="s">
        <v>42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v>1649.6</v>
      </c>
    </row>
    <row r="98" spans="1:31" x14ac:dyDescent="0.25">
      <c r="A98" t="s">
        <v>31</v>
      </c>
      <c r="B98">
        <v>2015</v>
      </c>
      <c r="C98" t="s">
        <v>43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33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v>1657.6</v>
      </c>
    </row>
    <row r="99" spans="1:31" x14ac:dyDescent="0.25">
      <c r="A99" t="s">
        <v>34</v>
      </c>
      <c r="B99">
        <v>2015</v>
      </c>
      <c r="C99" t="s">
        <v>43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v>1664.8</v>
      </c>
    </row>
    <row r="100" spans="1:31" x14ac:dyDescent="0.25">
      <c r="A100" t="s">
        <v>35</v>
      </c>
      <c r="B100">
        <v>2015</v>
      </c>
      <c r="C100" t="s">
        <v>43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v>1658.3</v>
      </c>
    </row>
    <row r="101" spans="1:31" x14ac:dyDescent="0.25">
      <c r="A101" t="s">
        <v>31</v>
      </c>
      <c r="B101">
        <v>2015</v>
      </c>
      <c r="C101" t="s">
        <v>44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33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v>1674.6</v>
      </c>
    </row>
    <row r="102" spans="1:31" x14ac:dyDescent="0.25">
      <c r="A102" t="s">
        <v>34</v>
      </c>
      <c r="B102">
        <v>2015</v>
      </c>
      <c r="C102" t="s">
        <v>44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v>1692.8</v>
      </c>
    </row>
    <row r="103" spans="1:31" x14ac:dyDescent="0.25">
      <c r="A103" t="s">
        <v>35</v>
      </c>
      <c r="B103">
        <v>2015</v>
      </c>
      <c r="C103" t="s">
        <v>44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v>1679</v>
      </c>
    </row>
    <row r="104" spans="1:31" x14ac:dyDescent="0.25">
      <c r="A104" t="s">
        <v>31</v>
      </c>
      <c r="B104">
        <v>2015</v>
      </c>
      <c r="C104" t="s">
        <v>46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33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v>1686.3</v>
      </c>
    </row>
    <row r="105" spans="1:31" x14ac:dyDescent="0.25">
      <c r="A105" t="s">
        <v>34</v>
      </c>
      <c r="B105">
        <v>2015</v>
      </c>
      <c r="C105" t="s">
        <v>46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v>1708.5</v>
      </c>
    </row>
    <row r="106" spans="1:31" x14ac:dyDescent="0.25">
      <c r="A106" t="s">
        <v>35</v>
      </c>
      <c r="B106">
        <v>2015</v>
      </c>
      <c r="C106" t="s">
        <v>46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v>1692.1</v>
      </c>
    </row>
    <row r="107" spans="1:31" x14ac:dyDescent="0.25">
      <c r="A107" t="s">
        <v>31</v>
      </c>
      <c r="B107">
        <v>2015</v>
      </c>
      <c r="C107" t="s">
        <v>47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33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v>1682.3</v>
      </c>
    </row>
    <row r="108" spans="1:31" x14ac:dyDescent="0.25">
      <c r="A108" t="s">
        <v>34</v>
      </c>
      <c r="B108">
        <v>2015</v>
      </c>
      <c r="C108" t="s">
        <v>47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v>1698.8</v>
      </c>
    </row>
    <row r="109" spans="1:31" x14ac:dyDescent="0.25">
      <c r="A109" t="s">
        <v>35</v>
      </c>
      <c r="B109">
        <v>2015</v>
      </c>
      <c r="C109" t="s">
        <v>47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v>1686.1</v>
      </c>
    </row>
    <row r="110" spans="1:31" x14ac:dyDescent="0.25">
      <c r="A110" t="s">
        <v>31</v>
      </c>
      <c r="B110">
        <v>2016</v>
      </c>
      <c r="C110" t="s">
        <v>32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33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v>1690.1</v>
      </c>
    </row>
    <row r="111" spans="1:31" x14ac:dyDescent="0.25">
      <c r="A111" t="s">
        <v>34</v>
      </c>
      <c r="B111">
        <v>2016</v>
      </c>
      <c r="C111" t="s">
        <v>32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v>1701.4</v>
      </c>
    </row>
    <row r="112" spans="1:31" x14ac:dyDescent="0.25">
      <c r="A112" t="s">
        <v>35</v>
      </c>
      <c r="B112">
        <v>2016</v>
      </c>
      <c r="C112" t="s">
        <v>32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v>1691.7</v>
      </c>
    </row>
    <row r="113" spans="1:31" x14ac:dyDescent="0.25">
      <c r="A113" t="s">
        <v>31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33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v>1682.6</v>
      </c>
    </row>
    <row r="114" spans="1:31" x14ac:dyDescent="0.25">
      <c r="A114" t="s">
        <v>34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v>1676.1</v>
      </c>
    </row>
    <row r="115" spans="1:31" x14ac:dyDescent="0.25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v>1678.1</v>
      </c>
    </row>
    <row r="116" spans="1:31" x14ac:dyDescent="0.25">
      <c r="A116" t="s">
        <v>31</v>
      </c>
      <c r="B116">
        <v>2016</v>
      </c>
      <c r="C116" t="s">
        <v>37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33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v>1682.7</v>
      </c>
    </row>
    <row r="117" spans="1:31" x14ac:dyDescent="0.25">
      <c r="A117" t="s">
        <v>34</v>
      </c>
      <c r="B117">
        <v>2016</v>
      </c>
      <c r="C117" t="s">
        <v>37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v>1667.6</v>
      </c>
    </row>
    <row r="118" spans="1:31" x14ac:dyDescent="0.25">
      <c r="A118" t="s">
        <v>35</v>
      </c>
      <c r="B118">
        <v>2016</v>
      </c>
      <c r="C118" t="s">
        <v>37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>
        <v>1675.2</v>
      </c>
    </row>
    <row r="119" spans="1:31" x14ac:dyDescent="0.25">
      <c r="A119" t="s">
        <v>31</v>
      </c>
      <c r="B119">
        <v>2016</v>
      </c>
      <c r="C119" t="s">
        <v>38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33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>
        <v>1701.6</v>
      </c>
    </row>
    <row r="120" spans="1:31" x14ac:dyDescent="0.25">
      <c r="A120" t="s">
        <v>34</v>
      </c>
      <c r="B120">
        <v>2016</v>
      </c>
      <c r="C120" t="s">
        <v>38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>
        <v>1706.3</v>
      </c>
    </row>
    <row r="121" spans="1:31" x14ac:dyDescent="0.25">
      <c r="A121" t="s">
        <v>35</v>
      </c>
      <c r="B121">
        <v>2016</v>
      </c>
      <c r="C121" t="s">
        <v>38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>
        <v>1701.3</v>
      </c>
    </row>
    <row r="122" spans="1:31" x14ac:dyDescent="0.25">
      <c r="A122" t="s">
        <v>31</v>
      </c>
      <c r="B122">
        <v>2016</v>
      </c>
      <c r="C122" t="s">
        <v>39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33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>
        <v>1723.7</v>
      </c>
    </row>
    <row r="123" spans="1:31" x14ac:dyDescent="0.25">
      <c r="A123" t="s">
        <v>34</v>
      </c>
      <c r="B123">
        <v>2016</v>
      </c>
      <c r="C123" t="s">
        <v>39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>
        <v>1746.8</v>
      </c>
    </row>
    <row r="124" spans="1:31" x14ac:dyDescent="0.25">
      <c r="A124" t="s">
        <v>35</v>
      </c>
      <c r="B124">
        <v>2016</v>
      </c>
      <c r="C124" t="s">
        <v>39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>
        <v>1730.4</v>
      </c>
    </row>
    <row r="125" spans="1:31" x14ac:dyDescent="0.25">
      <c r="A125" t="s">
        <v>31</v>
      </c>
      <c r="B125">
        <v>2016</v>
      </c>
      <c r="C125" t="s">
        <v>40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33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>
        <v>1748.6</v>
      </c>
    </row>
    <row r="126" spans="1:31" x14ac:dyDescent="0.25">
      <c r="A126" t="s">
        <v>34</v>
      </c>
      <c r="B126">
        <v>2016</v>
      </c>
      <c r="C126" t="s">
        <v>40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>
        <v>1787</v>
      </c>
    </row>
    <row r="127" spans="1:31" x14ac:dyDescent="0.25">
      <c r="A127" t="s">
        <v>35</v>
      </c>
      <c r="B127">
        <v>2016</v>
      </c>
      <c r="C127" t="s">
        <v>40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>
        <v>1760.6</v>
      </c>
    </row>
    <row r="128" spans="1:31" x14ac:dyDescent="0.25">
      <c r="A128" t="s">
        <v>31</v>
      </c>
      <c r="B128">
        <v>2016</v>
      </c>
      <c r="C128" t="s">
        <v>41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33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>
        <v>1770.3</v>
      </c>
    </row>
    <row r="129" spans="1:31" x14ac:dyDescent="0.25">
      <c r="A129" t="s">
        <v>34</v>
      </c>
      <c r="B129">
        <v>2016</v>
      </c>
      <c r="C129" t="s">
        <v>41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>
        <v>1811.5</v>
      </c>
    </row>
    <row r="130" spans="1:31" x14ac:dyDescent="0.25">
      <c r="A130" t="s">
        <v>35</v>
      </c>
      <c r="B130">
        <v>2016</v>
      </c>
      <c r="C130" t="s">
        <v>41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>
        <v>1783.5</v>
      </c>
    </row>
    <row r="131" spans="1:31" x14ac:dyDescent="0.25">
      <c r="A131" t="s">
        <v>31</v>
      </c>
      <c r="B131">
        <v>2016</v>
      </c>
      <c r="C131" t="s">
        <v>42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33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>
        <v>1777.5</v>
      </c>
    </row>
    <row r="132" spans="1:31" x14ac:dyDescent="0.25">
      <c r="A132" t="s">
        <v>34</v>
      </c>
      <c r="B132">
        <v>2016</v>
      </c>
      <c r="C132" t="s">
        <v>42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>
        <v>1784</v>
      </c>
    </row>
    <row r="133" spans="1:31" x14ac:dyDescent="0.25">
      <c r="A133" t="s">
        <v>35</v>
      </c>
      <c r="B133">
        <v>2016</v>
      </c>
      <c r="C133" t="s">
        <v>42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>
        <v>1777.9</v>
      </c>
    </row>
    <row r="134" spans="1:31" x14ac:dyDescent="0.25">
      <c r="A134" t="s">
        <v>31</v>
      </c>
      <c r="B134">
        <v>2016</v>
      </c>
      <c r="C134" t="s">
        <v>43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33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>
        <v>1770.7</v>
      </c>
    </row>
    <row r="135" spans="1:31" x14ac:dyDescent="0.25">
      <c r="A135" t="s">
        <v>34</v>
      </c>
      <c r="B135">
        <v>2016</v>
      </c>
      <c r="C135" t="s">
        <v>43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>
        <v>1756.4</v>
      </c>
    </row>
    <row r="136" spans="1:31" x14ac:dyDescent="0.25">
      <c r="A136" t="s">
        <v>35</v>
      </c>
      <c r="B136">
        <v>2016</v>
      </c>
      <c r="C136" t="s">
        <v>43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>
        <v>1763.7</v>
      </c>
    </row>
    <row r="137" spans="1:31" x14ac:dyDescent="0.25">
      <c r="A137" t="s">
        <v>31</v>
      </c>
      <c r="B137">
        <v>2016</v>
      </c>
      <c r="C137" t="s">
        <v>44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33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>
        <v>1771.8</v>
      </c>
    </row>
    <row r="138" spans="1:31" x14ac:dyDescent="0.25">
      <c r="A138" t="s">
        <v>34</v>
      </c>
      <c r="B138">
        <v>2016</v>
      </c>
      <c r="C138" t="s">
        <v>44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>
        <v>1762.9</v>
      </c>
    </row>
    <row r="139" spans="1:31" x14ac:dyDescent="0.25">
      <c r="A139" t="s">
        <v>35</v>
      </c>
      <c r="B139">
        <v>2016</v>
      </c>
      <c r="C139" t="s">
        <v>44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>
        <v>1766.8</v>
      </c>
    </row>
    <row r="140" spans="1:31" x14ac:dyDescent="0.25">
      <c r="A140" t="s">
        <v>31</v>
      </c>
      <c r="B140">
        <v>2016</v>
      </c>
      <c r="C140" t="s">
        <v>46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33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>
        <v>1764.6</v>
      </c>
    </row>
    <row r="141" spans="1:31" x14ac:dyDescent="0.25">
      <c r="A141" t="s">
        <v>34</v>
      </c>
      <c r="B141">
        <v>2016</v>
      </c>
      <c r="C141" t="s">
        <v>46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>
        <v>1755.2</v>
      </c>
    </row>
    <row r="142" spans="1:31" x14ac:dyDescent="0.25">
      <c r="A142" t="s">
        <v>35</v>
      </c>
      <c r="B142">
        <v>2016</v>
      </c>
      <c r="C142" t="s">
        <v>46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>
        <v>1759.8</v>
      </c>
    </row>
    <row r="143" spans="1:31" x14ac:dyDescent="0.25">
      <c r="A143" t="s">
        <v>31</v>
      </c>
      <c r="B143">
        <v>2016</v>
      </c>
      <c r="C143" t="s">
        <v>47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33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>
        <v>1749.1</v>
      </c>
    </row>
    <row r="144" spans="1:31" x14ac:dyDescent="0.25">
      <c r="A144" t="s">
        <v>34</v>
      </c>
      <c r="B144">
        <v>2016</v>
      </c>
      <c r="C144" t="s">
        <v>47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>
        <v>1729.8</v>
      </c>
    </row>
    <row r="145" spans="1:31" x14ac:dyDescent="0.25">
      <c r="A145" t="s">
        <v>35</v>
      </c>
      <c r="B145">
        <v>2016</v>
      </c>
      <c r="C145" t="s">
        <v>47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>
        <v>1740.7</v>
      </c>
    </row>
    <row r="146" spans="1:31" x14ac:dyDescent="0.25">
      <c r="A146" t="s">
        <v>31</v>
      </c>
      <c r="B146">
        <v>2017</v>
      </c>
      <c r="C146" t="s">
        <v>32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33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>
        <v>1737.3</v>
      </c>
    </row>
    <row r="147" spans="1:31" x14ac:dyDescent="0.25">
      <c r="A147" t="s">
        <v>34</v>
      </c>
      <c r="B147">
        <v>2017</v>
      </c>
      <c r="C147" t="s">
        <v>32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>
        <v>1713.2</v>
      </c>
    </row>
    <row r="148" spans="1:31" x14ac:dyDescent="0.25">
      <c r="A148" t="s">
        <v>35</v>
      </c>
      <c r="B148">
        <v>2017</v>
      </c>
      <c r="C148" t="s">
        <v>32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>
        <v>1727.3</v>
      </c>
    </row>
    <row r="149" spans="1:31" x14ac:dyDescent="0.25">
      <c r="A149" t="s">
        <v>31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33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>
        <v>1734.5</v>
      </c>
    </row>
    <row r="150" spans="1:31" x14ac:dyDescent="0.25">
      <c r="A150" t="s">
        <v>34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>
        <v>1705.3</v>
      </c>
    </row>
    <row r="151" spans="1:31" x14ac:dyDescent="0.25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>
        <v>1722.3</v>
      </c>
    </row>
    <row r="152" spans="1:31" x14ac:dyDescent="0.25">
      <c r="A152" t="s">
        <v>31</v>
      </c>
      <c r="B152">
        <v>2017</v>
      </c>
      <c r="C152" t="s">
        <v>37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33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>
        <v>1728.5</v>
      </c>
    </row>
    <row r="153" spans="1:31" x14ac:dyDescent="0.25">
      <c r="A153" t="s">
        <v>34</v>
      </c>
      <c r="B153">
        <v>2017</v>
      </c>
      <c r="C153" t="s">
        <v>37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>
        <v>1705.7</v>
      </c>
    </row>
    <row r="154" spans="1:31" x14ac:dyDescent="0.25">
      <c r="A154" t="s">
        <v>35</v>
      </c>
      <c r="B154">
        <v>2017</v>
      </c>
      <c r="C154" t="s">
        <v>37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>
        <v>1718.9</v>
      </c>
    </row>
    <row r="155" spans="1:31" x14ac:dyDescent="0.25">
      <c r="A155" t="s">
        <v>31</v>
      </c>
      <c r="B155">
        <v>2017</v>
      </c>
      <c r="C155" t="s">
        <v>38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33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>
        <v>1726.3</v>
      </c>
    </row>
    <row r="156" spans="1:31" x14ac:dyDescent="0.25">
      <c r="A156" t="s">
        <v>34</v>
      </c>
      <c r="B156">
        <v>2017</v>
      </c>
      <c r="C156" t="s">
        <v>38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>
        <v>1708.1</v>
      </c>
    </row>
    <row r="157" spans="1:31" x14ac:dyDescent="0.25">
      <c r="A157" t="s">
        <v>35</v>
      </c>
      <c r="B157">
        <v>2017</v>
      </c>
      <c r="C157" t="s">
        <v>38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>
        <v>1718.4</v>
      </c>
    </row>
    <row r="158" spans="1:31" x14ac:dyDescent="0.25">
      <c r="A158" t="s">
        <v>31</v>
      </c>
      <c r="B158">
        <v>2017</v>
      </c>
      <c r="C158" t="s">
        <v>39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33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>
        <v>1727.5</v>
      </c>
    </row>
    <row r="159" spans="1:31" x14ac:dyDescent="0.25">
      <c r="A159" t="s">
        <v>34</v>
      </c>
      <c r="B159">
        <v>2017</v>
      </c>
      <c r="C159" t="s">
        <v>39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>
        <v>1709.6</v>
      </c>
    </row>
    <row r="160" spans="1:31" x14ac:dyDescent="0.25">
      <c r="A160" t="s">
        <v>35</v>
      </c>
      <c r="B160">
        <v>2017</v>
      </c>
      <c r="C160" t="s">
        <v>39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>
        <v>1719.6</v>
      </c>
    </row>
    <row r="161" spans="1:31" x14ac:dyDescent="0.25">
      <c r="A161" t="s">
        <v>31</v>
      </c>
      <c r="B161">
        <v>2017</v>
      </c>
      <c r="C161" t="s">
        <v>40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33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>
        <v>1738.8</v>
      </c>
    </row>
    <row r="162" spans="1:31" x14ac:dyDescent="0.25">
      <c r="A162" t="s">
        <v>34</v>
      </c>
      <c r="B162">
        <v>2017</v>
      </c>
      <c r="C162" t="s">
        <v>40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>
        <v>1731</v>
      </c>
    </row>
    <row r="163" spans="1:31" x14ac:dyDescent="0.25">
      <c r="A163" t="s">
        <v>35</v>
      </c>
      <c r="B163">
        <v>2017</v>
      </c>
      <c r="C163" t="s">
        <v>40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>
        <v>1734.7</v>
      </c>
    </row>
    <row r="164" spans="1:31" x14ac:dyDescent="0.25">
      <c r="A164" t="s">
        <v>31</v>
      </c>
      <c r="B164">
        <v>2017</v>
      </c>
      <c r="C164" t="s">
        <v>41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33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>
        <v>1772.9</v>
      </c>
    </row>
    <row r="165" spans="1:31" x14ac:dyDescent="0.25">
      <c r="A165" t="s">
        <v>34</v>
      </c>
      <c r="B165">
        <v>2017</v>
      </c>
      <c r="C165" t="s">
        <v>41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>
        <v>1768.1</v>
      </c>
    </row>
    <row r="166" spans="1:31" x14ac:dyDescent="0.25">
      <c r="A166" t="s">
        <v>35</v>
      </c>
      <c r="B166">
        <v>2017</v>
      </c>
      <c r="C166" t="s">
        <v>41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>
        <v>1769.4</v>
      </c>
    </row>
    <row r="167" spans="1:31" x14ac:dyDescent="0.25">
      <c r="A167" t="s">
        <v>31</v>
      </c>
      <c r="B167">
        <v>2017</v>
      </c>
      <c r="C167" t="s">
        <v>42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33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>
        <v>1792.5</v>
      </c>
    </row>
    <row r="168" spans="1:31" x14ac:dyDescent="0.25">
      <c r="A168" t="s">
        <v>34</v>
      </c>
      <c r="B168">
        <v>2017</v>
      </c>
      <c r="C168" t="s">
        <v>42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>
        <v>1773</v>
      </c>
    </row>
    <row r="169" spans="1:31" x14ac:dyDescent="0.25">
      <c r="A169" t="s">
        <v>35</v>
      </c>
      <c r="B169">
        <v>2017</v>
      </c>
      <c r="C169" t="s">
        <v>42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>
        <v>1783.8</v>
      </c>
    </row>
    <row r="170" spans="1:31" x14ac:dyDescent="0.25">
      <c r="A170" t="s">
        <v>31</v>
      </c>
      <c r="B170">
        <v>2017</v>
      </c>
      <c r="C170" t="s">
        <v>43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33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>
        <v>1784.3</v>
      </c>
    </row>
    <row r="171" spans="1:31" x14ac:dyDescent="0.25">
      <c r="A171" t="s">
        <v>34</v>
      </c>
      <c r="B171">
        <v>2017</v>
      </c>
      <c r="C171" t="s">
        <v>43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>
        <v>1749.7</v>
      </c>
    </row>
    <row r="172" spans="1:31" x14ac:dyDescent="0.25">
      <c r="A172" t="s">
        <v>35</v>
      </c>
      <c r="B172">
        <v>2017</v>
      </c>
      <c r="C172" t="s">
        <v>43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>
        <v>1770</v>
      </c>
    </row>
    <row r="173" spans="1:31" x14ac:dyDescent="0.25">
      <c r="A173" t="s">
        <v>31</v>
      </c>
      <c r="B173">
        <v>2017</v>
      </c>
      <c r="C173" t="s">
        <v>44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33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>
        <v>1790.9</v>
      </c>
    </row>
    <row r="174" spans="1:31" x14ac:dyDescent="0.25">
      <c r="A174" t="s">
        <v>34</v>
      </c>
      <c r="B174">
        <v>2017</v>
      </c>
      <c r="C174" t="s">
        <v>44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>
        <v>1765.7</v>
      </c>
    </row>
    <row r="175" spans="1:31" x14ac:dyDescent="0.25">
      <c r="A175" t="s">
        <v>35</v>
      </c>
      <c r="B175">
        <v>2017</v>
      </c>
      <c r="C175" t="s">
        <v>44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>
        <v>1779.7</v>
      </c>
    </row>
    <row r="176" spans="1:31" x14ac:dyDescent="0.25">
      <c r="A176" t="s">
        <v>31</v>
      </c>
      <c r="B176">
        <v>2017</v>
      </c>
      <c r="C176" t="s">
        <v>46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33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>
        <v>1817.7</v>
      </c>
    </row>
    <row r="177" spans="1:31" x14ac:dyDescent="0.25">
      <c r="A177" t="s">
        <v>34</v>
      </c>
      <c r="B177">
        <v>2017</v>
      </c>
      <c r="C177" t="s">
        <v>46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>
        <v>1796.7</v>
      </c>
    </row>
    <row r="178" spans="1:31" x14ac:dyDescent="0.25">
      <c r="A178" t="s">
        <v>35</v>
      </c>
      <c r="B178">
        <v>2017</v>
      </c>
      <c r="C178" t="s">
        <v>46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>
        <v>1808.2</v>
      </c>
    </row>
    <row r="179" spans="1:31" x14ac:dyDescent="0.25">
      <c r="A179" t="s">
        <v>31</v>
      </c>
      <c r="B179">
        <v>2017</v>
      </c>
      <c r="C179" t="s">
        <v>47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33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>
        <v>1813.6</v>
      </c>
    </row>
    <row r="180" spans="1:31" x14ac:dyDescent="0.25">
      <c r="A180" t="s">
        <v>34</v>
      </c>
      <c r="B180">
        <v>2017</v>
      </c>
      <c r="C180" t="s">
        <v>47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>
        <v>1767.5</v>
      </c>
    </row>
    <row r="181" spans="1:31" x14ac:dyDescent="0.25">
      <c r="A181" t="s">
        <v>35</v>
      </c>
      <c r="B181">
        <v>2017</v>
      </c>
      <c r="C181" t="s">
        <v>47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>
        <v>1795</v>
      </c>
    </row>
    <row r="182" spans="1:31" x14ac:dyDescent="0.25">
      <c r="A182" t="s">
        <v>31</v>
      </c>
      <c r="B182">
        <v>2018</v>
      </c>
      <c r="C182" t="s">
        <v>32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33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>
        <v>1800.7</v>
      </c>
    </row>
    <row r="183" spans="1:31" x14ac:dyDescent="0.25">
      <c r="A183" t="s">
        <v>34</v>
      </c>
      <c r="B183">
        <v>2018</v>
      </c>
      <c r="C183" t="s">
        <v>32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>
        <v>1748.3</v>
      </c>
    </row>
    <row r="184" spans="1:31" x14ac:dyDescent="0.25">
      <c r="A184" t="s">
        <v>35</v>
      </c>
      <c r="B184">
        <v>2018</v>
      </c>
      <c r="C184" t="s">
        <v>32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>
        <v>1779.9</v>
      </c>
    </row>
    <row r="185" spans="1:31" x14ac:dyDescent="0.25">
      <c r="A185" t="s">
        <v>31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33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>
        <v>1781.5</v>
      </c>
    </row>
    <row r="186" spans="1:31" x14ac:dyDescent="0.25">
      <c r="A186" t="s">
        <v>34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>
        <v>1727.9</v>
      </c>
    </row>
    <row r="187" spans="1:31" x14ac:dyDescent="0.25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>
        <v>1760.4</v>
      </c>
    </row>
    <row r="188" spans="1:31" x14ac:dyDescent="0.25">
      <c r="A188" t="s">
        <v>31</v>
      </c>
      <c r="B188">
        <v>2018</v>
      </c>
      <c r="C188" t="s">
        <v>37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33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>
        <v>1782</v>
      </c>
    </row>
    <row r="189" spans="1:31" x14ac:dyDescent="0.25">
      <c r="A189" t="s">
        <v>34</v>
      </c>
      <c r="B189">
        <v>2018</v>
      </c>
      <c r="C189" t="s">
        <v>37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>
        <v>1715.5</v>
      </c>
    </row>
    <row r="190" spans="1:31" x14ac:dyDescent="0.25">
      <c r="A190" t="s">
        <v>35</v>
      </c>
      <c r="B190">
        <v>2018</v>
      </c>
      <c r="C190" t="s">
        <v>37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>
        <v>1756</v>
      </c>
    </row>
    <row r="191" spans="1:31" x14ac:dyDescent="0.25">
      <c r="A191" t="s">
        <v>31</v>
      </c>
      <c r="B191">
        <v>2018</v>
      </c>
      <c r="C191" t="s">
        <v>38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33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>
        <v>1780</v>
      </c>
    </row>
    <row r="192" spans="1:31" x14ac:dyDescent="0.25">
      <c r="A192" t="s">
        <v>34</v>
      </c>
      <c r="B192">
        <v>2018</v>
      </c>
      <c r="C192" t="s">
        <v>38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>
        <v>1720</v>
      </c>
    </row>
    <row r="193" spans="1:31" x14ac:dyDescent="0.25">
      <c r="A193" t="s">
        <v>35</v>
      </c>
      <c r="B193">
        <v>2018</v>
      </c>
      <c r="C193" t="s">
        <v>38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>
        <v>1757.1</v>
      </c>
    </row>
    <row r="194" spans="1:31" x14ac:dyDescent="0.25">
      <c r="A194" t="s">
        <v>31</v>
      </c>
      <c r="B194">
        <v>2018</v>
      </c>
      <c r="C194" t="s">
        <v>39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33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>
        <v>1782.4</v>
      </c>
    </row>
    <row r="195" spans="1:31" x14ac:dyDescent="0.25">
      <c r="A195" t="s">
        <v>34</v>
      </c>
      <c r="B195">
        <v>2018</v>
      </c>
      <c r="C195" t="s">
        <v>39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>
        <v>1722.9</v>
      </c>
    </row>
    <row r="196" spans="1:31" x14ac:dyDescent="0.25">
      <c r="A196" t="s">
        <v>35</v>
      </c>
      <c r="B196">
        <v>2018</v>
      </c>
      <c r="C196" t="s">
        <v>39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>
        <v>1759.8</v>
      </c>
    </row>
    <row r="197" spans="1:31" x14ac:dyDescent="0.25">
      <c r="A197" t="s">
        <v>31</v>
      </c>
      <c r="B197">
        <v>2018</v>
      </c>
      <c r="C197" t="s">
        <v>40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33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>
        <v>1790.3</v>
      </c>
    </row>
    <row r="198" spans="1:31" x14ac:dyDescent="0.25">
      <c r="A198" t="s">
        <v>34</v>
      </c>
      <c r="B198">
        <v>2018</v>
      </c>
      <c r="C198" t="s">
        <v>40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>
        <v>1747.3</v>
      </c>
    </row>
    <row r="199" spans="1:31" x14ac:dyDescent="0.25">
      <c r="A199" t="s">
        <v>35</v>
      </c>
      <c r="B199">
        <v>2018</v>
      </c>
      <c r="C199" t="s">
        <v>40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>
        <v>1774.1</v>
      </c>
    </row>
    <row r="200" spans="1:31" x14ac:dyDescent="0.25">
      <c r="A200" t="s">
        <v>31</v>
      </c>
      <c r="B200">
        <v>2018</v>
      </c>
      <c r="C200" t="s">
        <v>41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33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>
        <v>1810.5</v>
      </c>
    </row>
    <row r="201" spans="1:31" x14ac:dyDescent="0.25">
      <c r="A201" t="s">
        <v>34</v>
      </c>
      <c r="B201">
        <v>2018</v>
      </c>
      <c r="C201" t="s">
        <v>41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>
        <v>1771.1</v>
      </c>
    </row>
    <row r="202" spans="1:31" x14ac:dyDescent="0.25">
      <c r="A202" t="s">
        <v>35</v>
      </c>
      <c r="B202">
        <v>2018</v>
      </c>
      <c r="C202" t="s">
        <v>41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>
        <v>1795.3</v>
      </c>
    </row>
    <row r="203" spans="1:31" x14ac:dyDescent="0.25">
      <c r="A203" t="s">
        <v>31</v>
      </c>
      <c r="B203">
        <v>2018</v>
      </c>
      <c r="C203" t="s">
        <v>42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33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>
        <v>1818.8</v>
      </c>
    </row>
    <row r="204" spans="1:31" x14ac:dyDescent="0.25">
      <c r="A204" t="s">
        <v>34</v>
      </c>
      <c r="B204">
        <v>2018</v>
      </c>
      <c r="C204" t="s">
        <v>42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>
        <v>1767.6</v>
      </c>
    </row>
    <row r="205" spans="1:31" x14ac:dyDescent="0.25">
      <c r="A205" t="s">
        <v>35</v>
      </c>
      <c r="B205">
        <v>2018</v>
      </c>
      <c r="C205" t="s">
        <v>42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>
        <v>1798.7</v>
      </c>
    </row>
    <row r="206" spans="1:31" x14ac:dyDescent="0.25">
      <c r="A206" t="s">
        <v>31</v>
      </c>
      <c r="B206">
        <v>2018</v>
      </c>
      <c r="C206" t="s">
        <v>43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33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>
        <v>1799.8</v>
      </c>
    </row>
    <row r="207" spans="1:31" x14ac:dyDescent="0.25">
      <c r="A207" t="s">
        <v>34</v>
      </c>
      <c r="B207">
        <v>2018</v>
      </c>
      <c r="C207" t="s">
        <v>43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>
        <v>1748.4</v>
      </c>
    </row>
    <row r="208" spans="1:31" x14ac:dyDescent="0.25">
      <c r="A208" t="s">
        <v>35</v>
      </c>
      <c r="B208">
        <v>2018</v>
      </c>
      <c r="C208" t="s">
        <v>43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>
        <v>1779.5</v>
      </c>
    </row>
    <row r="209" spans="1:31" x14ac:dyDescent="0.25">
      <c r="A209" t="s">
        <v>31</v>
      </c>
      <c r="B209">
        <v>2018</v>
      </c>
      <c r="C209" t="s">
        <v>44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33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>
        <v>1782.2</v>
      </c>
    </row>
    <row r="210" spans="1:31" x14ac:dyDescent="0.25">
      <c r="A210" t="s">
        <v>34</v>
      </c>
      <c r="B210">
        <v>2018</v>
      </c>
      <c r="C210" t="s">
        <v>44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>
        <v>1754.1</v>
      </c>
    </row>
    <row r="211" spans="1:31" x14ac:dyDescent="0.25">
      <c r="A211" t="s">
        <v>35</v>
      </c>
      <c r="B211">
        <v>2018</v>
      </c>
      <c r="C211" t="s">
        <v>44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>
        <v>1776.2</v>
      </c>
    </row>
    <row r="212" spans="1:31" x14ac:dyDescent="0.25">
      <c r="A212" t="s">
        <v>31</v>
      </c>
      <c r="B212">
        <v>2018</v>
      </c>
      <c r="C212" t="s">
        <v>46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33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>
        <v>1787.5</v>
      </c>
    </row>
    <row r="213" spans="1:31" x14ac:dyDescent="0.25">
      <c r="A213" t="s">
        <v>34</v>
      </c>
      <c r="B213">
        <v>2018</v>
      </c>
      <c r="C213" t="s">
        <v>46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>
        <v>1757.5</v>
      </c>
    </row>
    <row r="214" spans="1:31" x14ac:dyDescent="0.25">
      <c r="A214" t="s">
        <v>35</v>
      </c>
      <c r="B214">
        <v>2018</v>
      </c>
      <c r="C214" t="s">
        <v>46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>
        <v>1775.7</v>
      </c>
    </row>
    <row r="215" spans="1:31" x14ac:dyDescent="0.25">
      <c r="A215" t="s">
        <v>31</v>
      </c>
      <c r="B215">
        <v>2018</v>
      </c>
      <c r="C215" t="s">
        <v>47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33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>
        <v>1773.1</v>
      </c>
    </row>
    <row r="216" spans="1:31" x14ac:dyDescent="0.25">
      <c r="A216" t="s">
        <v>34</v>
      </c>
      <c r="B216">
        <v>2018</v>
      </c>
      <c r="C216" t="s">
        <v>47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>
        <v>1746.6</v>
      </c>
    </row>
    <row r="217" spans="1:31" x14ac:dyDescent="0.25">
      <c r="A217" t="s">
        <v>35</v>
      </c>
      <c r="B217">
        <v>2018</v>
      </c>
      <c r="C217" t="s">
        <v>47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>
        <v>1762.8</v>
      </c>
    </row>
    <row r="218" spans="1:31" x14ac:dyDescent="0.25">
      <c r="A218" t="s">
        <v>31</v>
      </c>
      <c r="B218">
        <v>2019</v>
      </c>
      <c r="C218" t="s">
        <v>32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33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>
        <v>1759.6</v>
      </c>
    </row>
    <row r="219" spans="1:31" x14ac:dyDescent="0.25">
      <c r="A219" t="s">
        <v>34</v>
      </c>
      <c r="B219">
        <v>2019</v>
      </c>
      <c r="C219" t="s">
        <v>32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>
        <v>1744.3</v>
      </c>
    </row>
    <row r="220" spans="1:31" x14ac:dyDescent="0.25">
      <c r="A220" t="s">
        <v>35</v>
      </c>
      <c r="B220">
        <v>2019</v>
      </c>
      <c r="C220" t="s">
        <v>32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>
        <v>1753.4</v>
      </c>
    </row>
    <row r="221" spans="1:31" x14ac:dyDescent="0.25">
      <c r="A221" t="s">
        <v>31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33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>
        <v>1759.8</v>
      </c>
    </row>
    <row r="222" spans="1:31" x14ac:dyDescent="0.25">
      <c r="A222" t="s">
        <v>34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>
        <v>1754.4</v>
      </c>
    </row>
    <row r="223" spans="1:31" x14ac:dyDescent="0.25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>
        <v>1757.1</v>
      </c>
    </row>
    <row r="224" spans="1:31" x14ac:dyDescent="0.25">
      <c r="A224" t="s">
        <v>31</v>
      </c>
      <c r="B224">
        <v>2019</v>
      </c>
      <c r="C224" t="s">
        <v>37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33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>
        <v>1761.2</v>
      </c>
    </row>
    <row r="225" spans="1:31" x14ac:dyDescent="0.25">
      <c r="A225" t="s">
        <v>34</v>
      </c>
      <c r="B225">
        <v>2019</v>
      </c>
      <c r="C225" t="s">
        <v>37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>
        <v>1768.4</v>
      </c>
    </row>
    <row r="226" spans="1:31" x14ac:dyDescent="0.25">
      <c r="A226" t="s">
        <v>35</v>
      </c>
      <c r="B226">
        <v>2019</v>
      </c>
      <c r="C226" t="s">
        <v>37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>
        <v>1762.9</v>
      </c>
    </row>
    <row r="227" spans="1:31" x14ac:dyDescent="0.25">
      <c r="A227" t="s">
        <v>31</v>
      </c>
      <c r="B227">
        <v>2019</v>
      </c>
      <c r="C227" t="s">
        <v>39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33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E227">
        <v>1782.1</v>
      </c>
    </row>
    <row r="228" spans="1:31" x14ac:dyDescent="0.25">
      <c r="A228" t="s">
        <v>34</v>
      </c>
      <c r="B228">
        <v>2019</v>
      </c>
      <c r="C228" t="s">
        <v>39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E228">
        <v>1811.5</v>
      </c>
    </row>
    <row r="229" spans="1:31" x14ac:dyDescent="0.25">
      <c r="A229" t="s">
        <v>35</v>
      </c>
      <c r="B229">
        <v>2019</v>
      </c>
      <c r="C229" t="s">
        <v>39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E229">
        <v>1791.9</v>
      </c>
    </row>
    <row r="230" spans="1:31" x14ac:dyDescent="0.25">
      <c r="A230" t="s">
        <v>31</v>
      </c>
      <c r="B230">
        <v>2019</v>
      </c>
      <c r="C230" t="s">
        <v>40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33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E230">
        <v>1804.2</v>
      </c>
    </row>
    <row r="231" spans="1:31" x14ac:dyDescent="0.25">
      <c r="A231" t="s">
        <v>34</v>
      </c>
      <c r="B231">
        <v>2019</v>
      </c>
      <c r="C231" t="s">
        <v>40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E231">
        <v>1833.3</v>
      </c>
    </row>
    <row r="232" spans="1:31" x14ac:dyDescent="0.25">
      <c r="A232" t="s">
        <v>35</v>
      </c>
      <c r="B232">
        <v>2019</v>
      </c>
      <c r="C232" t="s">
        <v>40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E232">
        <v>1814.1</v>
      </c>
    </row>
    <row r="233" spans="1:31" x14ac:dyDescent="0.25">
      <c r="A233" t="s">
        <v>31</v>
      </c>
      <c r="B233">
        <v>2019</v>
      </c>
      <c r="C233" t="s">
        <v>41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33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E233">
        <v>1826.9</v>
      </c>
    </row>
    <row r="234" spans="1:31" x14ac:dyDescent="0.25">
      <c r="A234" t="s">
        <v>34</v>
      </c>
      <c r="B234">
        <v>2019</v>
      </c>
      <c r="C234" t="s">
        <v>41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E234">
        <v>1857.4</v>
      </c>
    </row>
    <row r="235" spans="1:31" x14ac:dyDescent="0.25">
      <c r="A235" t="s">
        <v>35</v>
      </c>
      <c r="B235">
        <v>2019</v>
      </c>
      <c r="C235" t="s">
        <v>41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E235">
        <v>1837.5</v>
      </c>
    </row>
    <row r="236" spans="1:31" x14ac:dyDescent="0.25">
      <c r="A236" t="s">
        <v>31</v>
      </c>
      <c r="B236">
        <v>2019</v>
      </c>
      <c r="C236" t="s">
        <v>42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33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E236">
        <v>1834.5</v>
      </c>
    </row>
    <row r="237" spans="1:31" x14ac:dyDescent="0.25">
      <c r="A237" t="s">
        <v>34</v>
      </c>
      <c r="B237">
        <v>2019</v>
      </c>
      <c r="C237" t="s">
        <v>42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E237">
        <v>1869.1</v>
      </c>
    </row>
    <row r="238" spans="1:31" x14ac:dyDescent="0.25">
      <c r="A238" t="s">
        <v>35</v>
      </c>
      <c r="B238">
        <v>2019</v>
      </c>
      <c r="C238" t="s">
        <v>42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E238">
        <v>1846.5</v>
      </c>
    </row>
    <row r="239" spans="1:31" x14ac:dyDescent="0.25">
      <c r="A239" t="s">
        <v>31</v>
      </c>
      <c r="B239">
        <v>2019</v>
      </c>
      <c r="C239" t="s">
        <v>43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33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E239">
        <v>1848.7</v>
      </c>
    </row>
    <row r="240" spans="1:31" x14ac:dyDescent="0.25">
      <c r="A240" t="s">
        <v>34</v>
      </c>
      <c r="B240">
        <v>2019</v>
      </c>
      <c r="C240" t="s">
        <v>43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E240">
        <v>1874.9</v>
      </c>
    </row>
    <row r="241" spans="1:31" x14ac:dyDescent="0.25">
      <c r="A241" t="s">
        <v>35</v>
      </c>
      <c r="B241">
        <v>2019</v>
      </c>
      <c r="C241" t="s">
        <v>43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E241">
        <v>1857.7</v>
      </c>
    </row>
    <row r="242" spans="1:31" x14ac:dyDescent="0.25">
      <c r="A242" t="s">
        <v>31</v>
      </c>
      <c r="B242">
        <v>2019</v>
      </c>
      <c r="C242" t="s">
        <v>44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33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E242">
        <v>1876.9</v>
      </c>
    </row>
    <row r="243" spans="1:31" x14ac:dyDescent="0.25">
      <c r="A243" t="s">
        <v>34</v>
      </c>
      <c r="B243">
        <v>2019</v>
      </c>
      <c r="C243" t="s">
        <v>44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E243">
        <v>1902.6</v>
      </c>
    </row>
    <row r="244" spans="1:31" x14ac:dyDescent="0.25">
      <c r="A244" t="s">
        <v>35</v>
      </c>
      <c r="B244">
        <v>2019</v>
      </c>
      <c r="C244" t="s">
        <v>44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E244">
        <v>1885.6</v>
      </c>
    </row>
    <row r="245" spans="1:31" x14ac:dyDescent="0.25">
      <c r="A245" t="s">
        <v>31</v>
      </c>
      <c r="B245">
        <v>2019</v>
      </c>
      <c r="C245" t="s">
        <v>46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33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E245">
        <v>1904.6</v>
      </c>
    </row>
    <row r="246" spans="1:31" x14ac:dyDescent="0.25">
      <c r="A246" t="s">
        <v>34</v>
      </c>
      <c r="B246">
        <v>2019</v>
      </c>
      <c r="C246" t="s">
        <v>46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E246">
        <v>1924</v>
      </c>
    </row>
    <row r="247" spans="1:31" x14ac:dyDescent="0.25">
      <c r="A247" t="s">
        <v>35</v>
      </c>
      <c r="B247">
        <v>2019</v>
      </c>
      <c r="C247" t="s">
        <v>46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E247">
        <v>1910.9</v>
      </c>
    </row>
    <row r="248" spans="1:31" x14ac:dyDescent="0.25">
      <c r="A248" t="s">
        <v>31</v>
      </c>
      <c r="B248">
        <v>2019</v>
      </c>
      <c r="C248" t="s">
        <v>47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33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E248">
        <v>1941</v>
      </c>
    </row>
    <row r="249" spans="1:31" x14ac:dyDescent="0.25">
      <c r="A249" t="s">
        <v>34</v>
      </c>
      <c r="B249">
        <v>2019</v>
      </c>
      <c r="C249" t="s">
        <v>47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E249">
        <v>1956.7</v>
      </c>
    </row>
    <row r="250" spans="1:31" x14ac:dyDescent="0.25">
      <c r="A250" t="s">
        <v>35</v>
      </c>
      <c r="B250">
        <v>2019</v>
      </c>
      <c r="C250" t="s">
        <v>47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E250">
        <v>1946.1</v>
      </c>
    </row>
    <row r="251" spans="1:31" x14ac:dyDescent="0.25">
      <c r="A251" t="s">
        <v>31</v>
      </c>
      <c r="B251">
        <v>2020</v>
      </c>
      <c r="C251" t="s">
        <v>32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33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E251">
        <v>1938.6</v>
      </c>
    </row>
    <row r="252" spans="1:31" x14ac:dyDescent="0.25">
      <c r="A252" t="s">
        <v>34</v>
      </c>
      <c r="B252">
        <v>2020</v>
      </c>
      <c r="C252" t="s">
        <v>32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E252">
        <v>1945.4</v>
      </c>
    </row>
    <row r="253" spans="1:31" x14ac:dyDescent="0.25">
      <c r="A253" t="s">
        <v>35</v>
      </c>
      <c r="B253">
        <v>2020</v>
      </c>
      <c r="C253" t="s">
        <v>32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E253">
        <v>1940.4</v>
      </c>
    </row>
    <row r="254" spans="1:31" x14ac:dyDescent="0.25">
      <c r="A254" t="s">
        <v>31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33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E254">
        <v>1909.8</v>
      </c>
    </row>
    <row r="255" spans="1:31" x14ac:dyDescent="0.25">
      <c r="A255" t="s">
        <v>34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E255">
        <v>1916.6</v>
      </c>
    </row>
    <row r="256" spans="1:31" x14ac:dyDescent="0.25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E256">
        <v>1911.6</v>
      </c>
    </row>
    <row r="257" spans="1:31" x14ac:dyDescent="0.25">
      <c r="A257" t="s">
        <v>31</v>
      </c>
      <c r="B257">
        <v>2020</v>
      </c>
      <c r="C257" t="s">
        <v>37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33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E257">
        <v>1894.6</v>
      </c>
    </row>
    <row r="258" spans="1:31" x14ac:dyDescent="0.25">
      <c r="A258" t="s">
        <v>34</v>
      </c>
      <c r="B258">
        <v>2020</v>
      </c>
      <c r="C258" t="s">
        <v>37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E258">
        <v>1898.5</v>
      </c>
    </row>
    <row r="259" spans="1:31" x14ac:dyDescent="0.25">
      <c r="A259" t="s">
        <v>35</v>
      </c>
      <c r="B259">
        <v>2020</v>
      </c>
      <c r="C259" t="s">
        <v>37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>
        <v>1895.4</v>
      </c>
    </row>
    <row r="260" spans="1:31" x14ac:dyDescent="0.25">
      <c r="A260" t="s">
        <v>31</v>
      </c>
      <c r="B260">
        <v>2020</v>
      </c>
      <c r="C260" t="s">
        <v>38</v>
      </c>
      <c r="D260">
        <v>147.19999999999999</v>
      </c>
      <c r="E260" t="s">
        <v>33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33</v>
      </c>
      <c r="P260">
        <v>150.1</v>
      </c>
      <c r="Q260" t="s">
        <v>33</v>
      </c>
      <c r="R260" t="s">
        <v>33</v>
      </c>
      <c r="S260" t="s">
        <v>33</v>
      </c>
      <c r="T260" t="s">
        <v>33</v>
      </c>
      <c r="U260" t="s">
        <v>33</v>
      </c>
      <c r="V260">
        <v>148.4</v>
      </c>
      <c r="W260" t="s">
        <v>33</v>
      </c>
      <c r="X260">
        <v>154.30000000000001</v>
      </c>
      <c r="Y260" t="s">
        <v>33</v>
      </c>
      <c r="Z260" t="s">
        <v>33</v>
      </c>
      <c r="AA260" t="s">
        <v>33</v>
      </c>
      <c r="AB260" t="s">
        <v>33</v>
      </c>
      <c r="AC260" t="s">
        <v>33</v>
      </c>
      <c r="AD260" t="s">
        <v>33</v>
      </c>
      <c r="AE260">
        <v>1614.8</v>
      </c>
    </row>
    <row r="261" spans="1:31" x14ac:dyDescent="0.25">
      <c r="A261" t="s">
        <v>34</v>
      </c>
      <c r="B261">
        <v>2020</v>
      </c>
      <c r="C261" t="s">
        <v>38</v>
      </c>
      <c r="D261">
        <v>151.80000000000001</v>
      </c>
      <c r="E261" t="s">
        <v>33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33</v>
      </c>
      <c r="P261">
        <v>153.5</v>
      </c>
      <c r="Q261" t="s">
        <v>33</v>
      </c>
      <c r="R261" t="s">
        <v>33</v>
      </c>
      <c r="S261" t="s">
        <v>33</v>
      </c>
      <c r="T261" t="s">
        <v>33</v>
      </c>
      <c r="U261">
        <v>155.6</v>
      </c>
      <c r="V261">
        <v>137.1</v>
      </c>
      <c r="W261" t="s">
        <v>33</v>
      </c>
      <c r="X261">
        <v>144.80000000000001</v>
      </c>
      <c r="Y261" t="s">
        <v>33</v>
      </c>
      <c r="Z261" t="s">
        <v>33</v>
      </c>
      <c r="AA261" t="s">
        <v>33</v>
      </c>
      <c r="AB261" t="s">
        <v>33</v>
      </c>
      <c r="AC261" t="s">
        <v>33</v>
      </c>
      <c r="AD261" t="s">
        <v>33</v>
      </c>
      <c r="AE261">
        <v>1636.7</v>
      </c>
    </row>
    <row r="262" spans="1:31" x14ac:dyDescent="0.25">
      <c r="A262" t="s">
        <v>35</v>
      </c>
      <c r="B262">
        <v>2020</v>
      </c>
      <c r="C262" t="s">
        <v>38</v>
      </c>
      <c r="D262">
        <v>148.69999999999999</v>
      </c>
      <c r="E262" t="s">
        <v>33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33</v>
      </c>
      <c r="P262">
        <v>151.4</v>
      </c>
      <c r="Q262" t="s">
        <v>33</v>
      </c>
      <c r="R262" t="s">
        <v>33</v>
      </c>
      <c r="S262" t="s">
        <v>33</v>
      </c>
      <c r="T262" t="s">
        <v>33</v>
      </c>
      <c r="U262">
        <v>155.6</v>
      </c>
      <c r="V262">
        <v>144.1</v>
      </c>
      <c r="W262" t="s">
        <v>33</v>
      </c>
      <c r="X262">
        <v>150.69999999999999</v>
      </c>
      <c r="Y262" t="s">
        <v>33</v>
      </c>
      <c r="Z262" t="s">
        <v>33</v>
      </c>
      <c r="AA262" t="s">
        <v>33</v>
      </c>
      <c r="AB262" t="s">
        <v>33</v>
      </c>
      <c r="AC262" t="s">
        <v>33</v>
      </c>
      <c r="AD262" t="s">
        <v>33</v>
      </c>
      <c r="AE262">
        <v>1622.7</v>
      </c>
    </row>
    <row r="263" spans="1:31" x14ac:dyDescent="0.25">
      <c r="A263" t="s">
        <v>31</v>
      </c>
      <c r="B263">
        <v>2020</v>
      </c>
      <c r="C263" t="s">
        <v>39</v>
      </c>
      <c r="D263" t="s">
        <v>33</v>
      </c>
      <c r="E263" t="s">
        <v>33</v>
      </c>
      <c r="F263" t="s">
        <v>33</v>
      </c>
      <c r="G263" t="s">
        <v>33</v>
      </c>
      <c r="H263" t="s">
        <v>33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33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33</v>
      </c>
      <c r="Y263" t="s">
        <v>33</v>
      </c>
      <c r="Z263" t="s">
        <v>33</v>
      </c>
      <c r="AA263" t="s">
        <v>33</v>
      </c>
      <c r="AB263" t="s">
        <v>33</v>
      </c>
      <c r="AC263" t="s">
        <v>33</v>
      </c>
      <c r="AD263" t="s">
        <v>33</v>
      </c>
      <c r="AE263">
        <v>0</v>
      </c>
    </row>
    <row r="264" spans="1:31" x14ac:dyDescent="0.25">
      <c r="A264" t="s">
        <v>34</v>
      </c>
      <c r="B264">
        <v>2020</v>
      </c>
      <c r="C264" t="s">
        <v>39</v>
      </c>
      <c r="D264" t="s">
        <v>33</v>
      </c>
      <c r="E264" t="s">
        <v>33</v>
      </c>
      <c r="F264" t="s">
        <v>33</v>
      </c>
      <c r="G264" t="s">
        <v>33</v>
      </c>
      <c r="H264" t="s">
        <v>33</v>
      </c>
      <c r="I264" t="s">
        <v>33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33</v>
      </c>
      <c r="Y264" t="s">
        <v>33</v>
      </c>
      <c r="Z264" t="s">
        <v>33</v>
      </c>
      <c r="AA264" t="s">
        <v>33</v>
      </c>
      <c r="AB264" t="s">
        <v>33</v>
      </c>
      <c r="AC264" t="s">
        <v>33</v>
      </c>
      <c r="AD264" t="s">
        <v>33</v>
      </c>
      <c r="AE264">
        <v>0</v>
      </c>
    </row>
    <row r="265" spans="1:31" x14ac:dyDescent="0.25">
      <c r="A265" t="s">
        <v>35</v>
      </c>
      <c r="B265">
        <v>2020</v>
      </c>
      <c r="C265" t="s">
        <v>39</v>
      </c>
      <c r="D265" t="s">
        <v>33</v>
      </c>
      <c r="E265" t="s">
        <v>33</v>
      </c>
      <c r="F265" t="s">
        <v>33</v>
      </c>
      <c r="G265" t="s">
        <v>33</v>
      </c>
      <c r="H265" t="s">
        <v>33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33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33</v>
      </c>
      <c r="Y265" t="s">
        <v>33</v>
      </c>
      <c r="Z265" t="s">
        <v>33</v>
      </c>
      <c r="AA265" t="s">
        <v>33</v>
      </c>
      <c r="AB265" t="s">
        <v>33</v>
      </c>
      <c r="AC265" t="s">
        <v>33</v>
      </c>
      <c r="AD265" t="s">
        <v>33</v>
      </c>
      <c r="AE265">
        <v>0</v>
      </c>
    </row>
    <row r="266" spans="1:31" x14ac:dyDescent="0.25">
      <c r="A266" t="s">
        <v>31</v>
      </c>
      <c r="B266">
        <v>2020</v>
      </c>
      <c r="C266" t="s">
        <v>40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33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>
        <v>1951</v>
      </c>
    </row>
    <row r="267" spans="1:31" x14ac:dyDescent="0.25">
      <c r="A267" t="s">
        <v>34</v>
      </c>
      <c r="B267">
        <v>2020</v>
      </c>
      <c r="C267" t="s">
        <v>40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>
        <v>1995</v>
      </c>
    </row>
    <row r="268" spans="1:31" x14ac:dyDescent="0.25">
      <c r="A268" t="s">
        <v>35</v>
      </c>
      <c r="B268">
        <v>2020</v>
      </c>
      <c r="C268" t="s">
        <v>40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>
        <v>1966.8</v>
      </c>
    </row>
    <row r="269" spans="1:31" x14ac:dyDescent="0.25">
      <c r="A269" t="s">
        <v>31</v>
      </c>
      <c r="B269">
        <v>2020</v>
      </c>
      <c r="C269" t="s">
        <v>41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33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v>1951</v>
      </c>
    </row>
    <row r="270" spans="1:31" x14ac:dyDescent="0.25">
      <c r="A270" t="s">
        <v>34</v>
      </c>
      <c r="B270">
        <v>2020</v>
      </c>
      <c r="C270" t="s">
        <v>41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v>1995</v>
      </c>
    </row>
    <row r="271" spans="1:31" x14ac:dyDescent="0.25">
      <c r="A271" t="s">
        <v>35</v>
      </c>
      <c r="B271">
        <v>2020</v>
      </c>
      <c r="C271" t="s">
        <v>41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v>1966.8</v>
      </c>
    </row>
    <row r="272" spans="1:31" x14ac:dyDescent="0.25">
      <c r="A272" t="s">
        <v>31</v>
      </c>
      <c r="B272">
        <v>2020</v>
      </c>
      <c r="C272" t="s">
        <v>42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33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>
        <v>1978.6</v>
      </c>
    </row>
    <row r="273" spans="1:31" x14ac:dyDescent="0.25">
      <c r="A273" t="s">
        <v>34</v>
      </c>
      <c r="B273">
        <v>2020</v>
      </c>
      <c r="C273" t="s">
        <v>42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>
        <v>2024.9</v>
      </c>
    </row>
    <row r="274" spans="1:31" x14ac:dyDescent="0.25">
      <c r="A274" t="s">
        <v>35</v>
      </c>
      <c r="B274">
        <v>2020</v>
      </c>
      <c r="C274" t="s">
        <v>42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>
        <v>1995.2</v>
      </c>
    </row>
    <row r="275" spans="1:31" x14ac:dyDescent="0.25">
      <c r="A275" t="s">
        <v>31</v>
      </c>
      <c r="B275">
        <v>2020</v>
      </c>
      <c r="C275" t="s">
        <v>43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33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>
        <v>1987.4</v>
      </c>
    </row>
    <row r="276" spans="1:31" x14ac:dyDescent="0.25">
      <c r="A276" t="s">
        <v>34</v>
      </c>
      <c r="B276">
        <v>2020</v>
      </c>
      <c r="C276" t="s">
        <v>43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>
        <v>2041.6</v>
      </c>
    </row>
    <row r="277" spans="1:31" x14ac:dyDescent="0.25">
      <c r="A277" t="s">
        <v>35</v>
      </c>
      <c r="B277">
        <v>2020</v>
      </c>
      <c r="C277" t="s">
        <v>43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>
        <v>2007</v>
      </c>
    </row>
    <row r="278" spans="1:31" x14ac:dyDescent="0.25">
      <c r="A278" t="s">
        <v>31</v>
      </c>
      <c r="B278">
        <v>2020</v>
      </c>
      <c r="C278" t="s">
        <v>44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33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>
        <v>2030.9</v>
      </c>
    </row>
    <row r="279" spans="1:31" x14ac:dyDescent="0.25">
      <c r="A279" t="s">
        <v>34</v>
      </c>
      <c r="B279">
        <v>2020</v>
      </c>
      <c r="C279" t="s">
        <v>44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>
        <v>2080.1999999999998</v>
      </c>
    </row>
    <row r="280" spans="1:31" x14ac:dyDescent="0.25">
      <c r="A280" t="s">
        <v>35</v>
      </c>
      <c r="B280">
        <v>2020</v>
      </c>
      <c r="C280" t="s">
        <v>44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>
        <v>2048.6</v>
      </c>
    </row>
    <row r="281" spans="1:31" x14ac:dyDescent="0.25">
      <c r="A281" t="s">
        <v>31</v>
      </c>
      <c r="B281">
        <v>2020</v>
      </c>
      <c r="C281" t="s">
        <v>46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33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>
        <v>2082.4</v>
      </c>
    </row>
    <row r="282" spans="1:31" x14ac:dyDescent="0.25">
      <c r="A282" t="s">
        <v>34</v>
      </c>
      <c r="B282">
        <v>2020</v>
      </c>
      <c r="C282" t="s">
        <v>46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>
        <v>2120.6999999999998</v>
      </c>
    </row>
    <row r="283" spans="1:31" x14ac:dyDescent="0.25">
      <c r="A283" t="s">
        <v>35</v>
      </c>
      <c r="B283">
        <v>2020</v>
      </c>
      <c r="C283" t="s">
        <v>46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>
        <v>2095.6</v>
      </c>
    </row>
    <row r="284" spans="1:31" x14ac:dyDescent="0.25">
      <c r="A284" t="s">
        <v>31</v>
      </c>
      <c r="B284">
        <v>2020</v>
      </c>
      <c r="C284" t="s">
        <v>47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33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>
        <v>2100.5</v>
      </c>
    </row>
    <row r="285" spans="1:31" x14ac:dyDescent="0.25">
      <c r="A285" t="s">
        <v>34</v>
      </c>
      <c r="B285">
        <v>2020</v>
      </c>
      <c r="C285" t="s">
        <v>47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>
        <v>2125.4</v>
      </c>
    </row>
    <row r="286" spans="1:31" x14ac:dyDescent="0.25">
      <c r="A286" t="s">
        <v>35</v>
      </c>
      <c r="B286">
        <v>2020</v>
      </c>
      <c r="C286" t="s">
        <v>47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>
        <v>2109.1</v>
      </c>
    </row>
    <row r="287" spans="1:31" x14ac:dyDescent="0.25">
      <c r="A287" t="s">
        <v>31</v>
      </c>
      <c r="B287">
        <v>2021</v>
      </c>
      <c r="C287" t="s">
        <v>32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33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>
        <v>2065.6999999999998</v>
      </c>
    </row>
    <row r="288" spans="1:31" x14ac:dyDescent="0.25">
      <c r="A288" t="s">
        <v>34</v>
      </c>
      <c r="B288">
        <v>2021</v>
      </c>
      <c r="C288" t="s">
        <v>32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>
        <v>2097</v>
      </c>
    </row>
    <row r="289" spans="1:31" x14ac:dyDescent="0.25">
      <c r="A289" t="s">
        <v>35</v>
      </c>
      <c r="B289">
        <v>2021</v>
      </c>
      <c r="C289" t="s">
        <v>32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>
        <v>2076.5</v>
      </c>
    </row>
    <row r="290" spans="1:31" x14ac:dyDescent="0.25">
      <c r="A290" t="s">
        <v>31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33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>
        <v>2025.3</v>
      </c>
    </row>
    <row r="291" spans="1:31" x14ac:dyDescent="0.25">
      <c r="A291" t="s">
        <v>34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>
        <v>2066</v>
      </c>
    </row>
    <row r="292" spans="1:31" x14ac:dyDescent="0.25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>
        <v>2039.3</v>
      </c>
    </row>
    <row r="293" spans="1:31" x14ac:dyDescent="0.25">
      <c r="A293" t="s">
        <v>31</v>
      </c>
      <c r="B293">
        <v>2021</v>
      </c>
      <c r="C293" t="s">
        <v>37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>
        <v>2025.7</v>
      </c>
    </row>
    <row r="294" spans="1:31" x14ac:dyDescent="0.25">
      <c r="A294" t="s">
        <v>34</v>
      </c>
      <c r="B294">
        <v>2021</v>
      </c>
      <c r="C294" t="s">
        <v>37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>
        <v>2064.5</v>
      </c>
    </row>
    <row r="295" spans="1:31" x14ac:dyDescent="0.25">
      <c r="A295" t="s">
        <v>35</v>
      </c>
      <c r="B295">
        <v>2021</v>
      </c>
      <c r="C295" t="s">
        <v>37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>
        <v>2039.4</v>
      </c>
    </row>
    <row r="296" spans="1:31" x14ac:dyDescent="0.25">
      <c r="A296" t="s">
        <v>31</v>
      </c>
      <c r="B296">
        <v>2021</v>
      </c>
      <c r="C296" t="s">
        <v>38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>
        <v>2049.5</v>
      </c>
    </row>
    <row r="297" spans="1:31" x14ac:dyDescent="0.25">
      <c r="A297" t="s">
        <v>34</v>
      </c>
      <c r="B297">
        <v>2021</v>
      </c>
      <c r="C297" t="s">
        <v>38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>
        <v>2089.6</v>
      </c>
    </row>
    <row r="298" spans="1:31" x14ac:dyDescent="0.25">
      <c r="A298" t="s">
        <v>35</v>
      </c>
      <c r="B298">
        <v>2021</v>
      </c>
      <c r="C298" t="s">
        <v>38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>
        <v>2064.1</v>
      </c>
    </row>
    <row r="299" spans="1:31" x14ac:dyDescent="0.25">
      <c r="A299" t="s">
        <v>31</v>
      </c>
      <c r="B299">
        <v>2021</v>
      </c>
      <c r="C299" t="s">
        <v>39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33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>
        <v>2095.3000000000002</v>
      </c>
    </row>
    <row r="300" spans="1:31" x14ac:dyDescent="0.25">
      <c r="A300" t="s">
        <v>34</v>
      </c>
      <c r="B300">
        <v>2021</v>
      </c>
      <c r="C300" t="s">
        <v>39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>
        <v>2124.6999999999998</v>
      </c>
    </row>
    <row r="301" spans="1:31" x14ac:dyDescent="0.25">
      <c r="A301" t="s">
        <v>35</v>
      </c>
      <c r="B301">
        <v>2021</v>
      </c>
      <c r="C301" t="s">
        <v>39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>
        <v>2105.6999999999998</v>
      </c>
    </row>
    <row r="302" spans="1:31" x14ac:dyDescent="0.25">
      <c r="A302" t="s">
        <v>31</v>
      </c>
      <c r="B302">
        <v>2021</v>
      </c>
      <c r="C302" t="s">
        <v>40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33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>
        <v>2122.6</v>
      </c>
    </row>
    <row r="303" spans="1:31" x14ac:dyDescent="0.25">
      <c r="A303" t="s">
        <v>34</v>
      </c>
      <c r="B303">
        <v>2021</v>
      </c>
      <c r="C303" t="s">
        <v>40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>
        <v>2154.1999999999998</v>
      </c>
    </row>
    <row r="304" spans="1:31" x14ac:dyDescent="0.25">
      <c r="A304" t="s">
        <v>35</v>
      </c>
      <c r="B304">
        <v>2021</v>
      </c>
      <c r="C304" t="s">
        <v>40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>
        <v>2133.9</v>
      </c>
    </row>
    <row r="305" spans="1:31" x14ac:dyDescent="0.25">
      <c r="A305" t="s">
        <v>31</v>
      </c>
      <c r="B305">
        <v>2021</v>
      </c>
      <c r="C305" t="s">
        <v>41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33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>
        <v>2132.4</v>
      </c>
    </row>
    <row r="306" spans="1:31" x14ac:dyDescent="0.25">
      <c r="A306" t="s">
        <v>34</v>
      </c>
      <c r="B306">
        <v>2021</v>
      </c>
      <c r="C306" t="s">
        <v>41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>
        <v>2171.8000000000002</v>
      </c>
    </row>
    <row r="307" spans="1:31" x14ac:dyDescent="0.25">
      <c r="A307" t="s">
        <v>35</v>
      </c>
      <c r="B307">
        <v>2021</v>
      </c>
      <c r="C307" t="s">
        <v>41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>
        <v>2147</v>
      </c>
    </row>
    <row r="308" spans="1:31" x14ac:dyDescent="0.25">
      <c r="A308" t="s">
        <v>31</v>
      </c>
      <c r="B308">
        <v>2021</v>
      </c>
      <c r="C308" t="s">
        <v>42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33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>
        <v>2130.8000000000002</v>
      </c>
    </row>
    <row r="309" spans="1:31" x14ac:dyDescent="0.25">
      <c r="A309" t="s">
        <v>34</v>
      </c>
      <c r="B309">
        <v>2021</v>
      </c>
      <c r="C309" t="s">
        <v>42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>
        <v>2157.9</v>
      </c>
    </row>
    <row r="310" spans="1:31" x14ac:dyDescent="0.25">
      <c r="A310" t="s">
        <v>35</v>
      </c>
      <c r="B310">
        <v>2021</v>
      </c>
      <c r="C310" t="s">
        <v>42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>
        <v>2142</v>
      </c>
    </row>
    <row r="311" spans="1:31" x14ac:dyDescent="0.25">
      <c r="A311" t="s">
        <v>31</v>
      </c>
      <c r="B311">
        <v>2021</v>
      </c>
      <c r="C311" t="s">
        <v>43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33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>
        <v>2133.6</v>
      </c>
    </row>
    <row r="312" spans="1:31" x14ac:dyDescent="0.25">
      <c r="A312" t="s">
        <v>34</v>
      </c>
      <c r="B312">
        <v>2021</v>
      </c>
      <c r="C312" t="s">
        <v>43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>
        <v>2157.9</v>
      </c>
    </row>
    <row r="313" spans="1:31" x14ac:dyDescent="0.25">
      <c r="A313" t="s">
        <v>35</v>
      </c>
      <c r="B313">
        <v>2021</v>
      </c>
      <c r="C313" t="s">
        <v>43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>
        <v>2142</v>
      </c>
    </row>
    <row r="314" spans="1:31" x14ac:dyDescent="0.25">
      <c r="A314" t="s">
        <v>31</v>
      </c>
      <c r="B314">
        <v>2021</v>
      </c>
      <c r="C314" t="s">
        <v>44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33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>
        <v>2164.1999999999998</v>
      </c>
    </row>
    <row r="315" spans="1:31" x14ac:dyDescent="0.25">
      <c r="A315" t="s">
        <v>34</v>
      </c>
      <c r="B315">
        <v>2021</v>
      </c>
      <c r="C315" t="s">
        <v>44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>
        <v>2198.4</v>
      </c>
    </row>
    <row r="316" spans="1:31" x14ac:dyDescent="0.25">
      <c r="A316" t="s">
        <v>35</v>
      </c>
      <c r="B316">
        <v>2021</v>
      </c>
      <c r="C316" t="s">
        <v>44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>
        <v>2175.5</v>
      </c>
    </row>
    <row r="317" spans="1:31" x14ac:dyDescent="0.25">
      <c r="A317" t="s">
        <v>31</v>
      </c>
      <c r="B317">
        <v>2021</v>
      </c>
      <c r="C317" t="s">
        <v>46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33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>
        <v>2182</v>
      </c>
    </row>
    <row r="318" spans="1:31" x14ac:dyDescent="0.25">
      <c r="A318" t="s">
        <v>34</v>
      </c>
      <c r="B318">
        <v>2021</v>
      </c>
      <c r="C318" t="s">
        <v>46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>
        <v>2217.9</v>
      </c>
    </row>
    <row r="319" spans="1:31" x14ac:dyDescent="0.25">
      <c r="A319" t="s">
        <v>35</v>
      </c>
      <c r="B319">
        <v>2021</v>
      </c>
      <c r="C319" t="s">
        <v>46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>
        <v>2194.1</v>
      </c>
    </row>
    <row r="320" spans="1:31" x14ac:dyDescent="0.25">
      <c r="A320" t="s">
        <v>31</v>
      </c>
      <c r="B320">
        <v>2021</v>
      </c>
      <c r="C320" t="s">
        <v>47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33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>
        <v>2168.1999999999998</v>
      </c>
    </row>
    <row r="321" spans="1:31" x14ac:dyDescent="0.25">
      <c r="A321" t="s">
        <v>34</v>
      </c>
      <c r="B321">
        <v>2021</v>
      </c>
      <c r="C321" t="s">
        <v>47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>
        <v>2206.3000000000002</v>
      </c>
    </row>
    <row r="322" spans="1:31" x14ac:dyDescent="0.25">
      <c r="A322" t="s">
        <v>35</v>
      </c>
      <c r="B322">
        <v>2021</v>
      </c>
      <c r="C322" t="s">
        <v>47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>
        <v>2180.9</v>
      </c>
    </row>
    <row r="323" spans="1:31" x14ac:dyDescent="0.25">
      <c r="A323" t="s">
        <v>31</v>
      </c>
      <c r="B323">
        <v>2022</v>
      </c>
      <c r="C323" t="s">
        <v>32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33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>
        <v>2153</v>
      </c>
    </row>
    <row r="324" spans="1:31" x14ac:dyDescent="0.25">
      <c r="A324" t="s">
        <v>34</v>
      </c>
      <c r="B324">
        <v>2022</v>
      </c>
      <c r="C324" t="s">
        <v>32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>
        <v>2186.6999999999998</v>
      </c>
    </row>
    <row r="325" spans="1:31" x14ac:dyDescent="0.25">
      <c r="A325" t="s">
        <v>35</v>
      </c>
      <c r="B325">
        <v>2022</v>
      </c>
      <c r="C325" t="s">
        <v>32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>
        <v>2164.1999999999998</v>
      </c>
    </row>
    <row r="326" spans="1:31" x14ac:dyDescent="0.25">
      <c r="A326" t="s">
        <v>31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33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>
        <v>2150.4</v>
      </c>
    </row>
    <row r="327" spans="1:31" x14ac:dyDescent="0.25">
      <c r="A327" t="s">
        <v>34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>
        <v>2183.5</v>
      </c>
    </row>
    <row r="328" spans="1:31" x14ac:dyDescent="0.25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>
        <v>2161.1999999999998</v>
      </c>
    </row>
    <row r="329" spans="1:31" x14ac:dyDescent="0.25">
      <c r="A329" t="s">
        <v>31</v>
      </c>
      <c r="B329">
        <v>2022</v>
      </c>
      <c r="C329" t="s">
        <v>37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33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>
        <v>2179.1</v>
      </c>
    </row>
    <row r="330" spans="1:31" x14ac:dyDescent="0.25">
      <c r="A330" t="s">
        <v>34</v>
      </c>
      <c r="B330">
        <v>2022</v>
      </c>
      <c r="C330" t="s">
        <v>37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>
        <v>2196.3000000000002</v>
      </c>
    </row>
    <row r="331" spans="1:31" x14ac:dyDescent="0.25">
      <c r="A331" t="s">
        <v>35</v>
      </c>
      <c r="B331">
        <v>2022</v>
      </c>
      <c r="C331" t="s">
        <v>37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>
        <v>2184.1999999999998</v>
      </c>
    </row>
    <row r="332" spans="1:31" x14ac:dyDescent="0.25">
      <c r="A332" t="s">
        <v>31</v>
      </c>
      <c r="B332">
        <v>2022</v>
      </c>
      <c r="C332" t="s">
        <v>38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33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>
        <v>2206.6</v>
      </c>
    </row>
    <row r="333" spans="1:31" x14ac:dyDescent="0.25">
      <c r="A333" t="s">
        <v>34</v>
      </c>
      <c r="B333">
        <v>2022</v>
      </c>
      <c r="C333" t="s">
        <v>38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>
        <v>2230.4</v>
      </c>
    </row>
    <row r="334" spans="1:31" x14ac:dyDescent="0.25">
      <c r="A334" t="s">
        <v>35</v>
      </c>
      <c r="B334">
        <v>2022</v>
      </c>
      <c r="C334" t="s">
        <v>38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>
        <v>2214.3000000000002</v>
      </c>
    </row>
    <row r="335" spans="1:31" x14ac:dyDescent="0.25">
      <c r="A335" t="s">
        <v>31</v>
      </c>
      <c r="B335">
        <v>2022</v>
      </c>
      <c r="C335" t="s">
        <v>39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33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>
        <v>2226.8000000000002</v>
      </c>
    </row>
    <row r="336" spans="1:31" x14ac:dyDescent="0.25">
      <c r="A336" t="s">
        <v>34</v>
      </c>
      <c r="B336">
        <v>2022</v>
      </c>
      <c r="C336" t="s">
        <v>39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>
        <v>2262.1999999999998</v>
      </c>
    </row>
    <row r="337" spans="1:31" x14ac:dyDescent="0.25">
      <c r="A337" t="s">
        <v>35</v>
      </c>
      <c r="B337">
        <v>2022</v>
      </c>
      <c r="C337" t="s">
        <v>39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>
        <v>2238.9</v>
      </c>
    </row>
    <row r="338" spans="1:31" x14ac:dyDescent="0.25">
      <c r="A338" t="s">
        <v>31</v>
      </c>
      <c r="B338">
        <v>2022</v>
      </c>
      <c r="C338" t="s">
        <v>40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33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>
        <v>2248.3000000000002</v>
      </c>
    </row>
    <row r="339" spans="1:31" x14ac:dyDescent="0.25">
      <c r="A339" t="s">
        <v>34</v>
      </c>
      <c r="B339">
        <v>2022</v>
      </c>
      <c r="C339" t="s">
        <v>40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>
        <v>2287.5</v>
      </c>
    </row>
    <row r="340" spans="1:31" x14ac:dyDescent="0.25">
      <c r="A340" t="s">
        <v>35</v>
      </c>
      <c r="B340">
        <v>2022</v>
      </c>
      <c r="C340" t="s">
        <v>40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>
        <v>2261.9</v>
      </c>
    </row>
    <row r="341" spans="1:31" x14ac:dyDescent="0.25">
      <c r="A341" t="s">
        <v>31</v>
      </c>
      <c r="B341">
        <v>2022</v>
      </c>
      <c r="C341" t="s">
        <v>41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33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>
        <v>2252.5</v>
      </c>
    </row>
    <row r="342" spans="1:31" x14ac:dyDescent="0.25">
      <c r="A342" t="s">
        <v>34</v>
      </c>
      <c r="B342">
        <v>2022</v>
      </c>
      <c r="C342" t="s">
        <v>41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>
        <v>2291.6</v>
      </c>
    </row>
    <row r="343" spans="1:31" x14ac:dyDescent="0.25">
      <c r="A343" t="s">
        <v>35</v>
      </c>
      <c r="B343">
        <v>2022</v>
      </c>
      <c r="C343" t="s">
        <v>41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>
        <v>2266.3000000000002</v>
      </c>
    </row>
    <row r="344" spans="1:31" x14ac:dyDescent="0.25">
      <c r="A344" t="s">
        <v>31</v>
      </c>
      <c r="B344">
        <v>2022</v>
      </c>
      <c r="C344" t="s">
        <v>42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33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>
        <v>2255.8000000000002</v>
      </c>
    </row>
    <row r="345" spans="1:31" x14ac:dyDescent="0.25">
      <c r="A345" t="s">
        <v>34</v>
      </c>
      <c r="B345">
        <v>2022</v>
      </c>
      <c r="C345" t="s">
        <v>42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>
        <v>2293.6999999999998</v>
      </c>
    </row>
    <row r="346" spans="1:31" x14ac:dyDescent="0.25">
      <c r="A346" t="s">
        <v>35</v>
      </c>
      <c r="B346">
        <v>2022</v>
      </c>
      <c r="C346" t="s">
        <v>42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>
        <v>2269.1999999999998</v>
      </c>
    </row>
    <row r="347" spans="1:31" x14ac:dyDescent="0.25">
      <c r="A347" t="s">
        <v>31</v>
      </c>
      <c r="B347">
        <v>2022</v>
      </c>
      <c r="C347" t="s">
        <v>43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33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>
        <v>2267.8000000000002</v>
      </c>
    </row>
    <row r="348" spans="1:31" x14ac:dyDescent="0.25">
      <c r="A348" t="s">
        <v>34</v>
      </c>
      <c r="B348">
        <v>2022</v>
      </c>
      <c r="C348" t="s">
        <v>43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>
        <v>2306.4</v>
      </c>
    </row>
    <row r="349" spans="1:31" x14ac:dyDescent="0.25">
      <c r="A349" t="s">
        <v>35</v>
      </c>
      <c r="B349">
        <v>2022</v>
      </c>
      <c r="C349" t="s">
        <v>43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>
        <v>2280.9</v>
      </c>
    </row>
    <row r="350" spans="1:31" x14ac:dyDescent="0.25">
      <c r="A350" t="s">
        <v>31</v>
      </c>
      <c r="B350">
        <v>2022</v>
      </c>
      <c r="C350" t="s">
        <v>44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33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>
        <v>2284.5</v>
      </c>
    </row>
    <row r="351" spans="1:31" x14ac:dyDescent="0.25">
      <c r="A351" t="s">
        <v>34</v>
      </c>
      <c r="B351">
        <v>2022</v>
      </c>
      <c r="C351" t="s">
        <v>44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>
        <v>2322.3000000000002</v>
      </c>
    </row>
    <row r="352" spans="1:31" x14ac:dyDescent="0.25">
      <c r="A352" t="s">
        <v>35</v>
      </c>
      <c r="B352">
        <v>2022</v>
      </c>
      <c r="C352" t="s">
        <v>44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>
        <v>2297.3000000000002</v>
      </c>
    </row>
    <row r="353" spans="1:31" x14ac:dyDescent="0.25">
      <c r="A353" t="s">
        <v>31</v>
      </c>
      <c r="B353">
        <v>2022</v>
      </c>
      <c r="C353" t="s">
        <v>46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33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>
        <v>2287.6999999999998</v>
      </c>
    </row>
    <row r="354" spans="1:31" x14ac:dyDescent="0.25">
      <c r="A354" t="s">
        <v>34</v>
      </c>
      <c r="B354">
        <v>2022</v>
      </c>
      <c r="C354" t="s">
        <v>46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>
        <v>2314.4</v>
      </c>
    </row>
    <row r="355" spans="1:31" x14ac:dyDescent="0.25">
      <c r="A355" t="s">
        <v>35</v>
      </c>
      <c r="B355">
        <v>2022</v>
      </c>
      <c r="C355" t="s">
        <v>46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>
        <v>2296.8000000000002</v>
      </c>
    </row>
    <row r="356" spans="1:31" x14ac:dyDescent="0.25">
      <c r="A356" t="s">
        <v>31</v>
      </c>
      <c r="B356">
        <v>2022</v>
      </c>
      <c r="C356" t="s">
        <v>47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33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>
        <v>2277.1</v>
      </c>
    </row>
    <row r="357" spans="1:31" x14ac:dyDescent="0.25">
      <c r="A357" t="s">
        <v>34</v>
      </c>
      <c r="B357">
        <v>2022</v>
      </c>
      <c r="C357" t="s">
        <v>47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>
        <v>2295.8000000000002</v>
      </c>
    </row>
    <row r="358" spans="1:31" x14ac:dyDescent="0.25">
      <c r="A358" t="s">
        <v>35</v>
      </c>
      <c r="B358">
        <v>2022</v>
      </c>
      <c r="C358" t="s">
        <v>47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>
        <v>2283.4</v>
      </c>
    </row>
    <row r="359" spans="1:31" x14ac:dyDescent="0.25">
      <c r="A359" t="s">
        <v>31</v>
      </c>
      <c r="B359">
        <v>2023</v>
      </c>
      <c r="C359" t="s">
        <v>32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33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>
        <v>2283.1999999999998</v>
      </c>
    </row>
    <row r="360" spans="1:31" x14ac:dyDescent="0.25">
      <c r="A360" t="s">
        <v>34</v>
      </c>
      <c r="B360">
        <v>2023</v>
      </c>
      <c r="C360" t="s">
        <v>32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>
        <v>2310.1999999999998</v>
      </c>
    </row>
    <row r="361" spans="1:31" x14ac:dyDescent="0.25">
      <c r="A361" t="s">
        <v>35</v>
      </c>
      <c r="B361">
        <v>2023</v>
      </c>
      <c r="C361" t="s">
        <v>32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>
        <v>2292.6999999999998</v>
      </c>
    </row>
    <row r="362" spans="1:31" x14ac:dyDescent="0.25">
      <c r="A362" t="s">
        <v>31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33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>
        <v>2265.6999999999998</v>
      </c>
    </row>
    <row r="363" spans="1:31" x14ac:dyDescent="0.25">
      <c r="A363" t="s">
        <v>34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>
        <v>2303.1999999999998</v>
      </c>
    </row>
    <row r="364" spans="1:31" x14ac:dyDescent="0.25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>
        <v>2279.1</v>
      </c>
    </row>
    <row r="365" spans="1:31" x14ac:dyDescent="0.25">
      <c r="A365" t="s">
        <v>31</v>
      </c>
      <c r="B365">
        <v>2023</v>
      </c>
      <c r="C365" t="s">
        <v>37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33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v>2265.8000000000002</v>
      </c>
    </row>
    <row r="366" spans="1:31" x14ac:dyDescent="0.25">
      <c r="A366" t="s">
        <v>34</v>
      </c>
      <c r="B366">
        <v>2023</v>
      </c>
      <c r="C366" t="s">
        <v>37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>
        <v>2303.4</v>
      </c>
    </row>
    <row r="367" spans="1:31" x14ac:dyDescent="0.25">
      <c r="A367" t="s">
        <v>35</v>
      </c>
      <c r="B367">
        <v>2023</v>
      </c>
      <c r="C367" t="s">
        <v>37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v>2279.1999999999998</v>
      </c>
    </row>
    <row r="368" spans="1:31" x14ac:dyDescent="0.25">
      <c r="A368" t="s">
        <v>31</v>
      </c>
      <c r="B368">
        <v>2023</v>
      </c>
      <c r="C368" t="s">
        <v>38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>
        <v>2274.1999999999998</v>
      </c>
    </row>
    <row r="369" spans="1:31" x14ac:dyDescent="0.25">
      <c r="A369" t="s">
        <v>34</v>
      </c>
      <c r="B369">
        <v>2023</v>
      </c>
      <c r="C369" t="s">
        <v>38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>
        <v>2317.6999999999998</v>
      </c>
    </row>
    <row r="370" spans="1:31" x14ac:dyDescent="0.25">
      <c r="A370" t="s">
        <v>35</v>
      </c>
      <c r="B370">
        <v>2023</v>
      </c>
      <c r="C370" t="s">
        <v>38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E370">
        <v>2289.6</v>
      </c>
    </row>
    <row r="371" spans="1:31" x14ac:dyDescent="0.25">
      <c r="A371" t="s">
        <v>31</v>
      </c>
      <c r="B371">
        <v>2023</v>
      </c>
      <c r="C371" t="s">
        <v>39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>
        <v>2290.6999999999998</v>
      </c>
    </row>
    <row r="372" spans="1:31" x14ac:dyDescent="0.25">
      <c r="A372" t="s">
        <v>34</v>
      </c>
      <c r="B372">
        <v>2023</v>
      </c>
      <c r="C372" t="s">
        <v>39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>
        <v>2335.1</v>
      </c>
    </row>
    <row r="373" spans="1:31" x14ac:dyDescent="0.25">
      <c r="A373" t="s">
        <v>35</v>
      </c>
      <c r="B373">
        <v>2023</v>
      </c>
      <c r="C373" t="s">
        <v>39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E373">
        <v>2306.9</v>
      </c>
    </row>
  </sheetData>
  <sheetProtection algorithmName="SHA-512" hashValue="vVwg/TX06Ax0/G36atkuM+boLZqnIhCF7x1fLnSwD4fM5hQE1QfTq3ngTcNJPx2D+Lk3y1JckU1r97LN5bi1zw==" saltValue="rIH51x2rrtLR4VS0uNksr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9"/>
  <sheetViews>
    <sheetView topLeftCell="AD1" zoomScale="95" zoomScaleNormal="95" workbookViewId="0">
      <pane ySplit="1" topLeftCell="A93" activePane="bottomLeft" state="frozen"/>
      <selection pane="bottomLeft" activeCell="C4" sqref="C4"/>
    </sheetView>
  </sheetViews>
  <sheetFormatPr defaultRowHeight="15" x14ac:dyDescent="0.25"/>
  <cols>
    <col min="1" max="1" width="11.42578125" bestFit="1" customWidth="1"/>
    <col min="3" max="3" width="11.140625" customWidth="1"/>
    <col min="4" max="4" width="14.140625" bestFit="1" customWidth="1"/>
    <col min="5" max="5" width="21.85546875" customWidth="1"/>
    <col min="6" max="6" width="15.28515625" customWidth="1"/>
    <col min="8" max="8" width="19.28515625" customWidth="1"/>
    <col min="9" max="9" width="14.140625" customWidth="1"/>
    <col min="11" max="11" width="13.140625" customWidth="1"/>
    <col min="12" max="12" width="20.85546875" customWidth="1"/>
    <col min="13" max="13" width="25.140625" customWidth="1"/>
    <col min="15" max="15" width="25.28515625" customWidth="1"/>
    <col min="16" max="16" width="33.28515625" customWidth="1"/>
    <col min="17" max="17" width="21.140625" customWidth="1"/>
    <col min="18" max="18" width="28.85546875" customWidth="1"/>
    <col min="19" max="19" width="12.42578125" bestFit="1" customWidth="1"/>
    <col min="20" max="20" width="11.5703125" customWidth="1"/>
    <col min="21" max="21" width="23.140625" customWidth="1"/>
    <col min="22" max="22" width="10.28515625" customWidth="1"/>
    <col min="23" max="23" width="15.28515625" customWidth="1"/>
    <col min="24" max="24" width="30.140625" customWidth="1"/>
    <col min="25" max="25" width="12" customWidth="1"/>
    <col min="26" max="26" width="30.140625" customWidth="1"/>
    <col min="27" max="27" width="28" customWidth="1"/>
    <col min="28" max="28" width="11.85546875" customWidth="1"/>
    <col min="29" max="29" width="23.42578125" customWidth="1"/>
    <col min="30" max="30" width="16" customWidth="1"/>
    <col min="31" max="31" width="15.7109375" customWidth="1"/>
    <col min="32" max="32" width="19.42578125" customWidth="1"/>
    <col min="33" max="33" width="21.5703125" customWidth="1"/>
    <col min="34" max="34" width="25" customWidth="1"/>
    <col min="35" max="35" width="23.85546875" customWidth="1"/>
    <col min="36" max="36" width="40.5703125" customWidth="1"/>
    <col min="37" max="37" width="18" customWidth="1"/>
  </cols>
  <sheetData>
    <row r="1" spans="1:37" ht="14.45" customHeight="1" x14ac:dyDescent="0.25">
      <c r="A1" s="40" t="s">
        <v>0</v>
      </c>
      <c r="B1" s="40" t="s">
        <v>1</v>
      </c>
      <c r="C1" s="40" t="s">
        <v>2</v>
      </c>
      <c r="D1" s="41" t="s">
        <v>66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0" t="s">
        <v>13</v>
      </c>
      <c r="P1" s="40" t="s">
        <v>80</v>
      </c>
      <c r="Q1" s="40" t="s">
        <v>15</v>
      </c>
      <c r="R1" s="40" t="s">
        <v>16</v>
      </c>
      <c r="S1" s="40" t="s">
        <v>17</v>
      </c>
      <c r="T1" s="40" t="s">
        <v>18</v>
      </c>
      <c r="U1" s="40" t="s">
        <v>19</v>
      </c>
      <c r="V1" s="40" t="s">
        <v>20</v>
      </c>
      <c r="W1" s="40" t="s">
        <v>21</v>
      </c>
      <c r="X1" s="40" t="s">
        <v>22</v>
      </c>
      <c r="Y1" s="40" t="s">
        <v>23</v>
      </c>
      <c r="Z1" s="40" t="s">
        <v>24</v>
      </c>
      <c r="AA1" s="40" t="s">
        <v>25</v>
      </c>
      <c r="AB1" s="40" t="s">
        <v>26</v>
      </c>
      <c r="AC1" s="40" t="s">
        <v>81</v>
      </c>
      <c r="AD1" s="40" t="s">
        <v>28</v>
      </c>
      <c r="AE1" s="40" t="s">
        <v>29</v>
      </c>
      <c r="AF1" s="41" t="s">
        <v>30</v>
      </c>
      <c r="AG1" s="41" t="s">
        <v>50</v>
      </c>
      <c r="AH1" s="41" t="s">
        <v>57</v>
      </c>
      <c r="AI1" s="41" t="s">
        <v>58</v>
      </c>
      <c r="AJ1" s="41" t="s">
        <v>64</v>
      </c>
      <c r="AK1" s="41" t="s">
        <v>85</v>
      </c>
    </row>
    <row r="2" spans="1:37" x14ac:dyDescent="0.25">
      <c r="A2" t="s">
        <v>31</v>
      </c>
      <c r="B2">
        <v>2013</v>
      </c>
      <c r="C2" t="s">
        <v>32</v>
      </c>
      <c r="D2" s="24">
        <f>DATEVALUE(_xlfn.CONCAT(C2,"-",B2))</f>
        <v>41275</v>
      </c>
      <c r="E2" s="26">
        <v>107.5</v>
      </c>
      <c r="F2" s="26">
        <v>106.3</v>
      </c>
      <c r="G2" s="26">
        <v>108.1</v>
      </c>
      <c r="H2" s="26">
        <v>104.9</v>
      </c>
      <c r="I2" s="26">
        <v>106.1</v>
      </c>
      <c r="J2" s="26">
        <v>103.9</v>
      </c>
      <c r="K2" s="26">
        <v>101.9</v>
      </c>
      <c r="L2" s="26">
        <v>106.1</v>
      </c>
      <c r="M2" s="26">
        <v>106.8</v>
      </c>
      <c r="N2" s="26">
        <v>103.1</v>
      </c>
      <c r="O2" s="26">
        <v>104.8</v>
      </c>
      <c r="P2" s="26">
        <v>106.7</v>
      </c>
      <c r="Q2" s="26">
        <v>105.5</v>
      </c>
      <c r="R2" s="26">
        <v>105.1</v>
      </c>
      <c r="S2" s="26">
        <v>106.5</v>
      </c>
      <c r="T2" s="26">
        <v>105.8</v>
      </c>
      <c r="U2" s="26">
        <v>106.4</v>
      </c>
      <c r="V2" s="26" t="s">
        <v>33</v>
      </c>
      <c r="W2" s="26">
        <v>105.5</v>
      </c>
      <c r="X2" s="26">
        <v>104.8</v>
      </c>
      <c r="Y2" s="26">
        <v>104</v>
      </c>
      <c r="Z2" s="26">
        <v>103.3</v>
      </c>
      <c r="AA2" s="26">
        <v>103.4</v>
      </c>
      <c r="AB2" s="26">
        <v>103.8</v>
      </c>
      <c r="AC2" s="26">
        <v>104.7</v>
      </c>
      <c r="AD2" s="26">
        <v>104</v>
      </c>
      <c r="AE2" s="26">
        <v>105.1</v>
      </c>
      <c r="AF2" s="27">
        <f>SUM(E2:Q2)</f>
        <v>1371.6999999999998</v>
      </c>
      <c r="AG2" s="27">
        <f>SUM(S2:U2)</f>
        <v>318.70000000000005</v>
      </c>
      <c r="AH2" s="27">
        <f>SUM(V2:X2)</f>
        <v>210.3</v>
      </c>
      <c r="AI2" s="27">
        <f>SUM(Y2+AC2)</f>
        <v>208.7</v>
      </c>
      <c r="AJ2" s="27">
        <f>SUM(AA2+AD2)</f>
        <v>207.4</v>
      </c>
      <c r="AK2" s="27">
        <f>SUM(R2+Z2+AB2+AF2+AG2+AH2+AI2+AJ2)</f>
        <v>2629</v>
      </c>
    </row>
    <row r="3" spans="1:37" x14ac:dyDescent="0.25">
      <c r="A3" t="s">
        <v>31</v>
      </c>
      <c r="B3">
        <v>2013</v>
      </c>
      <c r="C3" t="s">
        <v>36</v>
      </c>
      <c r="D3" s="25">
        <v>41306</v>
      </c>
      <c r="E3" s="26">
        <v>109.2</v>
      </c>
      <c r="F3" s="26">
        <v>108.7</v>
      </c>
      <c r="G3" s="26">
        <v>110.2</v>
      </c>
      <c r="H3" s="26">
        <v>105.4</v>
      </c>
      <c r="I3" s="26">
        <v>106.7</v>
      </c>
      <c r="J3" s="26">
        <v>104</v>
      </c>
      <c r="K3" s="26">
        <v>102.4</v>
      </c>
      <c r="L3" s="26">
        <v>105.9</v>
      </c>
      <c r="M3" s="26">
        <v>105.7</v>
      </c>
      <c r="N3" s="26">
        <v>103.1</v>
      </c>
      <c r="O3" s="26">
        <v>105.1</v>
      </c>
      <c r="P3" s="26">
        <v>107.7</v>
      </c>
      <c r="Q3" s="26">
        <v>106.3</v>
      </c>
      <c r="R3" s="26">
        <v>105.6</v>
      </c>
      <c r="S3" s="26">
        <v>107.1</v>
      </c>
      <c r="T3" s="26">
        <v>106.3</v>
      </c>
      <c r="U3" s="26">
        <v>107</v>
      </c>
      <c r="V3" s="26" t="s">
        <v>33</v>
      </c>
      <c r="W3" s="26">
        <v>106.2</v>
      </c>
      <c r="X3" s="26">
        <v>105.2</v>
      </c>
      <c r="Y3" s="26">
        <v>104.4</v>
      </c>
      <c r="Z3" s="26">
        <v>103.9</v>
      </c>
      <c r="AA3" s="26">
        <v>104</v>
      </c>
      <c r="AB3" s="26">
        <v>104.1</v>
      </c>
      <c r="AC3" s="26">
        <v>104.6</v>
      </c>
      <c r="AD3" s="26">
        <v>104.4</v>
      </c>
      <c r="AE3" s="26">
        <v>105.8</v>
      </c>
      <c r="AF3" s="26">
        <v>1380.3999999999999</v>
      </c>
      <c r="AG3" s="26">
        <v>320.39999999999998</v>
      </c>
      <c r="AH3" s="26">
        <v>211.4</v>
      </c>
      <c r="AI3" s="26">
        <v>209</v>
      </c>
      <c r="AJ3" s="26">
        <v>208.4</v>
      </c>
      <c r="AK3" s="26">
        <v>2643.2000000000003</v>
      </c>
    </row>
    <row r="4" spans="1:37" x14ac:dyDescent="0.25">
      <c r="A4" t="s">
        <v>31</v>
      </c>
      <c r="B4">
        <v>2013</v>
      </c>
      <c r="C4" t="s">
        <v>37</v>
      </c>
      <c r="D4" s="25">
        <v>41334</v>
      </c>
      <c r="E4" s="26">
        <v>110.2</v>
      </c>
      <c r="F4" s="26">
        <v>108.8</v>
      </c>
      <c r="G4" s="26">
        <v>109.9</v>
      </c>
      <c r="H4" s="26">
        <v>105.6</v>
      </c>
      <c r="I4" s="26">
        <v>106.2</v>
      </c>
      <c r="J4" s="26">
        <v>105.7</v>
      </c>
      <c r="K4" s="26">
        <v>101.4</v>
      </c>
      <c r="L4" s="26">
        <v>105.7</v>
      </c>
      <c r="M4" s="26">
        <v>105</v>
      </c>
      <c r="N4" s="26">
        <v>103.3</v>
      </c>
      <c r="O4" s="26">
        <v>105.6</v>
      </c>
      <c r="P4" s="26">
        <v>108.2</v>
      </c>
      <c r="Q4" s="26">
        <v>106.6</v>
      </c>
      <c r="R4" s="26">
        <v>106.5</v>
      </c>
      <c r="S4" s="26">
        <v>107.6</v>
      </c>
      <c r="T4" s="26">
        <v>106.8</v>
      </c>
      <c r="U4" s="26">
        <v>107.5</v>
      </c>
      <c r="V4" s="26" t="s">
        <v>33</v>
      </c>
      <c r="W4" s="26">
        <v>106.1</v>
      </c>
      <c r="X4" s="26">
        <v>105.6</v>
      </c>
      <c r="Y4" s="26">
        <v>104.7</v>
      </c>
      <c r="Z4" s="26">
        <v>104.6</v>
      </c>
      <c r="AA4" s="26">
        <v>104</v>
      </c>
      <c r="AB4" s="26">
        <v>104.3</v>
      </c>
      <c r="AC4" s="26">
        <v>104.3</v>
      </c>
      <c r="AD4" s="26">
        <v>104.6</v>
      </c>
      <c r="AE4" s="26">
        <v>106</v>
      </c>
      <c r="AF4" s="26">
        <v>1382.2</v>
      </c>
      <c r="AG4" s="26">
        <v>321.89999999999998</v>
      </c>
      <c r="AH4" s="26">
        <v>211.7</v>
      </c>
      <c r="AI4" s="26">
        <v>209</v>
      </c>
      <c r="AJ4" s="26">
        <v>208.6</v>
      </c>
      <c r="AK4" s="26">
        <v>2648.7999999999997</v>
      </c>
    </row>
    <row r="5" spans="1:37" x14ac:dyDescent="0.25">
      <c r="A5" t="s">
        <v>31</v>
      </c>
      <c r="B5">
        <v>2013</v>
      </c>
      <c r="C5" t="s">
        <v>38</v>
      </c>
      <c r="D5" s="25">
        <v>41365</v>
      </c>
      <c r="E5" s="26">
        <v>110.2</v>
      </c>
      <c r="F5" s="26">
        <v>109.5</v>
      </c>
      <c r="G5" s="26">
        <v>106.9</v>
      </c>
      <c r="H5" s="26">
        <v>106.3</v>
      </c>
      <c r="I5" s="26">
        <v>105.7</v>
      </c>
      <c r="J5" s="26">
        <v>108.3</v>
      </c>
      <c r="K5" s="26">
        <v>103.4</v>
      </c>
      <c r="L5" s="26">
        <v>105.7</v>
      </c>
      <c r="M5" s="26">
        <v>104.2</v>
      </c>
      <c r="N5" s="26">
        <v>103.2</v>
      </c>
      <c r="O5" s="26">
        <v>106.5</v>
      </c>
      <c r="P5" s="26">
        <v>108.8</v>
      </c>
      <c r="Q5" s="26">
        <v>107.1</v>
      </c>
      <c r="R5" s="26">
        <v>107.1</v>
      </c>
      <c r="S5" s="26">
        <v>108.1</v>
      </c>
      <c r="T5" s="26">
        <v>107.4</v>
      </c>
      <c r="U5" s="26">
        <v>108</v>
      </c>
      <c r="V5" s="26" t="s">
        <v>33</v>
      </c>
      <c r="W5" s="26">
        <v>106.5</v>
      </c>
      <c r="X5" s="26">
        <v>106.1</v>
      </c>
      <c r="Y5" s="26">
        <v>105.1</v>
      </c>
      <c r="Z5" s="26">
        <v>104.4</v>
      </c>
      <c r="AA5" s="26">
        <v>104.5</v>
      </c>
      <c r="AB5" s="26">
        <v>104.8</v>
      </c>
      <c r="AC5" s="26">
        <v>102.7</v>
      </c>
      <c r="AD5" s="26">
        <v>104.6</v>
      </c>
      <c r="AE5" s="26">
        <v>106.4</v>
      </c>
      <c r="AF5" s="26">
        <v>1385.8</v>
      </c>
      <c r="AG5" s="26">
        <v>323.5</v>
      </c>
      <c r="AH5" s="26">
        <v>212.6</v>
      </c>
      <c r="AI5" s="26">
        <v>207.8</v>
      </c>
      <c r="AJ5" s="26">
        <v>209.1</v>
      </c>
      <c r="AK5" s="26">
        <v>2655.1</v>
      </c>
    </row>
    <row r="6" spans="1:37" x14ac:dyDescent="0.25">
      <c r="A6" t="s">
        <v>31</v>
      </c>
      <c r="B6">
        <v>2013</v>
      </c>
      <c r="C6" t="s">
        <v>39</v>
      </c>
      <c r="D6" s="25">
        <v>41395</v>
      </c>
      <c r="E6" s="26">
        <v>110.9</v>
      </c>
      <c r="F6" s="26">
        <v>109.8</v>
      </c>
      <c r="G6" s="26">
        <v>105.9</v>
      </c>
      <c r="H6" s="26">
        <v>107.5</v>
      </c>
      <c r="I6" s="26">
        <v>105.3</v>
      </c>
      <c r="J6" s="26">
        <v>108.1</v>
      </c>
      <c r="K6" s="26">
        <v>107.3</v>
      </c>
      <c r="L6" s="26">
        <v>106.1</v>
      </c>
      <c r="M6" s="26">
        <v>103.7</v>
      </c>
      <c r="N6" s="26">
        <v>104</v>
      </c>
      <c r="O6" s="26">
        <v>107.4</v>
      </c>
      <c r="P6" s="26">
        <v>109.9</v>
      </c>
      <c r="Q6" s="26">
        <v>108.1</v>
      </c>
      <c r="R6" s="26">
        <v>108.1</v>
      </c>
      <c r="S6" s="26">
        <v>108.8</v>
      </c>
      <c r="T6" s="26">
        <v>107.9</v>
      </c>
      <c r="U6" s="26">
        <v>108.6</v>
      </c>
      <c r="V6" s="26" t="s">
        <v>33</v>
      </c>
      <c r="W6" s="26">
        <v>107.5</v>
      </c>
      <c r="X6" s="26">
        <v>106.8</v>
      </c>
      <c r="Y6" s="26">
        <v>105.7</v>
      </c>
      <c r="Z6" s="26">
        <v>104.1</v>
      </c>
      <c r="AA6" s="26">
        <v>105</v>
      </c>
      <c r="AB6" s="26">
        <v>105.5</v>
      </c>
      <c r="AC6" s="26">
        <v>102.1</v>
      </c>
      <c r="AD6" s="26">
        <v>104.8</v>
      </c>
      <c r="AE6" s="26">
        <v>107.2</v>
      </c>
      <c r="AF6" s="26">
        <v>1394</v>
      </c>
      <c r="AG6" s="26">
        <v>325.29999999999995</v>
      </c>
      <c r="AH6" s="26">
        <v>214.3</v>
      </c>
      <c r="AI6" s="26">
        <v>207.8</v>
      </c>
      <c r="AJ6" s="26">
        <v>209.8</v>
      </c>
      <c r="AK6" s="26">
        <v>2668.9000000000005</v>
      </c>
    </row>
    <row r="7" spans="1:37" x14ac:dyDescent="0.25">
      <c r="A7" t="s">
        <v>31</v>
      </c>
      <c r="B7">
        <v>2013</v>
      </c>
      <c r="C7" t="s">
        <v>40</v>
      </c>
      <c r="D7" s="25">
        <v>41426</v>
      </c>
      <c r="E7" s="26">
        <v>112.3</v>
      </c>
      <c r="F7" s="26">
        <v>112.1</v>
      </c>
      <c r="G7" s="26">
        <v>108.1</v>
      </c>
      <c r="H7" s="26">
        <v>108.3</v>
      </c>
      <c r="I7" s="26">
        <v>105.9</v>
      </c>
      <c r="J7" s="26">
        <v>109.2</v>
      </c>
      <c r="K7" s="26">
        <v>118</v>
      </c>
      <c r="L7" s="26">
        <v>106.8</v>
      </c>
      <c r="M7" s="26">
        <v>104.1</v>
      </c>
      <c r="N7" s="26">
        <v>105.4</v>
      </c>
      <c r="O7" s="26">
        <v>108.2</v>
      </c>
      <c r="P7" s="26">
        <v>111</v>
      </c>
      <c r="Q7" s="26">
        <v>110.6</v>
      </c>
      <c r="R7" s="26">
        <v>109</v>
      </c>
      <c r="S7" s="26">
        <v>109.7</v>
      </c>
      <c r="T7" s="26">
        <v>108.8</v>
      </c>
      <c r="U7" s="26">
        <v>109.5</v>
      </c>
      <c r="V7" s="26" t="s">
        <v>33</v>
      </c>
      <c r="W7" s="26">
        <v>108.5</v>
      </c>
      <c r="X7" s="26">
        <v>107.5</v>
      </c>
      <c r="Y7" s="26">
        <v>106.3</v>
      </c>
      <c r="Z7" s="26">
        <v>105</v>
      </c>
      <c r="AA7" s="26">
        <v>105.6</v>
      </c>
      <c r="AB7" s="26">
        <v>106.5</v>
      </c>
      <c r="AC7" s="26">
        <v>102.5</v>
      </c>
      <c r="AD7" s="26">
        <v>105.5</v>
      </c>
      <c r="AE7" s="26">
        <v>108.9</v>
      </c>
      <c r="AF7" s="26">
        <v>1420</v>
      </c>
      <c r="AG7" s="26">
        <v>328</v>
      </c>
      <c r="AH7" s="26">
        <v>216</v>
      </c>
      <c r="AI7" s="26">
        <v>208.8</v>
      </c>
      <c r="AJ7" s="26">
        <v>211.1</v>
      </c>
      <c r="AK7" s="26">
        <v>2704.4</v>
      </c>
    </row>
    <row r="8" spans="1:37" x14ac:dyDescent="0.25">
      <c r="A8" t="s">
        <v>31</v>
      </c>
      <c r="B8">
        <v>2013</v>
      </c>
      <c r="C8" t="s">
        <v>41</v>
      </c>
      <c r="D8" s="25">
        <v>41456</v>
      </c>
      <c r="E8" s="26">
        <v>113.4</v>
      </c>
      <c r="F8" s="26">
        <v>114.9</v>
      </c>
      <c r="G8" s="26">
        <v>110.5</v>
      </c>
      <c r="H8" s="26">
        <v>109.3</v>
      </c>
      <c r="I8" s="26">
        <v>106.2</v>
      </c>
      <c r="J8" s="26">
        <v>110.3</v>
      </c>
      <c r="K8" s="26">
        <v>129.19999999999999</v>
      </c>
      <c r="L8" s="26">
        <v>107.1</v>
      </c>
      <c r="M8" s="26">
        <v>104.3</v>
      </c>
      <c r="N8" s="26">
        <v>106.4</v>
      </c>
      <c r="O8" s="26">
        <v>109.1</v>
      </c>
      <c r="P8" s="26">
        <v>112.1</v>
      </c>
      <c r="Q8" s="26">
        <v>113.1</v>
      </c>
      <c r="R8" s="26">
        <v>109.8</v>
      </c>
      <c r="S8" s="26">
        <v>110.5</v>
      </c>
      <c r="T8" s="26">
        <v>109.5</v>
      </c>
      <c r="U8" s="26">
        <v>110.3</v>
      </c>
      <c r="V8" s="26" t="s">
        <v>33</v>
      </c>
      <c r="W8" s="26">
        <v>109.5</v>
      </c>
      <c r="X8" s="26">
        <v>108.3</v>
      </c>
      <c r="Y8" s="26">
        <v>106.9</v>
      </c>
      <c r="Z8" s="26">
        <v>106.8</v>
      </c>
      <c r="AA8" s="26">
        <v>106.4</v>
      </c>
      <c r="AB8" s="26">
        <v>107.8</v>
      </c>
      <c r="AC8" s="26">
        <v>102.5</v>
      </c>
      <c r="AD8" s="26">
        <v>106.5</v>
      </c>
      <c r="AE8" s="26">
        <v>110.7</v>
      </c>
      <c r="AF8" s="26">
        <v>1445.8999999999996</v>
      </c>
      <c r="AG8" s="26">
        <v>330.3</v>
      </c>
      <c r="AH8" s="26">
        <v>217.8</v>
      </c>
      <c r="AI8" s="26">
        <v>209.4</v>
      </c>
      <c r="AJ8" s="26">
        <v>212.9</v>
      </c>
      <c r="AK8" s="26">
        <v>2740.7000000000003</v>
      </c>
    </row>
    <row r="9" spans="1:37" x14ac:dyDescent="0.25">
      <c r="A9" t="s">
        <v>31</v>
      </c>
      <c r="B9">
        <v>2013</v>
      </c>
      <c r="C9" t="s">
        <v>42</v>
      </c>
      <c r="D9" s="25">
        <v>41487</v>
      </c>
      <c r="E9" s="26">
        <v>114.3</v>
      </c>
      <c r="F9" s="26">
        <v>115.4</v>
      </c>
      <c r="G9" s="26">
        <v>111.1</v>
      </c>
      <c r="H9" s="26">
        <v>110</v>
      </c>
      <c r="I9" s="26">
        <v>106.4</v>
      </c>
      <c r="J9" s="26">
        <v>110.8</v>
      </c>
      <c r="K9" s="26">
        <v>138.9</v>
      </c>
      <c r="L9" s="26">
        <v>107.4</v>
      </c>
      <c r="M9" s="26">
        <v>104.1</v>
      </c>
      <c r="N9" s="26">
        <v>106.9</v>
      </c>
      <c r="O9" s="26">
        <v>109.7</v>
      </c>
      <c r="P9" s="26">
        <v>112.6</v>
      </c>
      <c r="Q9" s="26">
        <v>114.9</v>
      </c>
      <c r="R9" s="26">
        <v>110.7</v>
      </c>
      <c r="S9" s="26">
        <v>111.3</v>
      </c>
      <c r="T9" s="26">
        <v>110.2</v>
      </c>
      <c r="U9" s="26">
        <v>111.1</v>
      </c>
      <c r="V9" s="26" t="s">
        <v>33</v>
      </c>
      <c r="W9" s="26">
        <v>109.9</v>
      </c>
      <c r="X9" s="26">
        <v>108.7</v>
      </c>
      <c r="Y9" s="26">
        <v>107.5</v>
      </c>
      <c r="Z9" s="26">
        <v>107.8</v>
      </c>
      <c r="AA9" s="26">
        <v>106.8</v>
      </c>
      <c r="AB9" s="26">
        <v>108.7</v>
      </c>
      <c r="AC9" s="26">
        <v>105</v>
      </c>
      <c r="AD9" s="26">
        <v>107.5</v>
      </c>
      <c r="AE9" s="26">
        <v>112.1</v>
      </c>
      <c r="AF9" s="26">
        <v>1462.5</v>
      </c>
      <c r="AG9" s="26">
        <v>332.6</v>
      </c>
      <c r="AH9" s="26">
        <v>218.60000000000002</v>
      </c>
      <c r="AI9" s="26">
        <v>212.5</v>
      </c>
      <c r="AJ9" s="26">
        <v>214.3</v>
      </c>
      <c r="AK9" s="26">
        <v>2767.7000000000003</v>
      </c>
    </row>
    <row r="10" spans="1:37" x14ac:dyDescent="0.25">
      <c r="A10" t="s">
        <v>31</v>
      </c>
      <c r="B10">
        <v>2013</v>
      </c>
      <c r="C10" t="s">
        <v>43</v>
      </c>
      <c r="D10" s="25">
        <v>41518</v>
      </c>
      <c r="E10" s="26">
        <v>115.4</v>
      </c>
      <c r="F10" s="26">
        <v>115.7</v>
      </c>
      <c r="G10" s="26">
        <v>111.7</v>
      </c>
      <c r="H10" s="26">
        <v>111</v>
      </c>
      <c r="I10" s="26">
        <v>107.4</v>
      </c>
      <c r="J10" s="26">
        <v>110.9</v>
      </c>
      <c r="K10" s="26">
        <v>154</v>
      </c>
      <c r="L10" s="26">
        <v>108.1</v>
      </c>
      <c r="M10" s="26">
        <v>104.2</v>
      </c>
      <c r="N10" s="26">
        <v>107.9</v>
      </c>
      <c r="O10" s="26">
        <v>110.4</v>
      </c>
      <c r="P10" s="26">
        <v>114</v>
      </c>
      <c r="Q10" s="26">
        <v>117.8</v>
      </c>
      <c r="R10" s="26">
        <v>111.7</v>
      </c>
      <c r="S10" s="26">
        <v>112.7</v>
      </c>
      <c r="T10" s="26">
        <v>111.4</v>
      </c>
      <c r="U10" s="26">
        <v>112.5</v>
      </c>
      <c r="V10" s="26" t="s">
        <v>33</v>
      </c>
      <c r="W10" s="26">
        <v>111.1</v>
      </c>
      <c r="X10" s="26">
        <v>109.6</v>
      </c>
      <c r="Y10" s="26">
        <v>108.3</v>
      </c>
      <c r="Z10" s="26">
        <v>109.3</v>
      </c>
      <c r="AA10" s="26">
        <v>107.7</v>
      </c>
      <c r="AB10" s="26">
        <v>109.8</v>
      </c>
      <c r="AC10" s="26">
        <v>106.7</v>
      </c>
      <c r="AD10" s="26">
        <v>108.7</v>
      </c>
      <c r="AE10" s="26">
        <v>114.2</v>
      </c>
      <c r="AF10" s="26">
        <v>1488.5000000000002</v>
      </c>
      <c r="AG10" s="26">
        <v>336.6</v>
      </c>
      <c r="AH10" s="26">
        <v>220.7</v>
      </c>
      <c r="AI10" s="26">
        <v>215</v>
      </c>
      <c r="AJ10" s="26">
        <v>216.4</v>
      </c>
      <c r="AK10" s="26">
        <v>2808</v>
      </c>
    </row>
    <row r="11" spans="1:37" x14ac:dyDescent="0.25">
      <c r="A11" t="s">
        <v>31</v>
      </c>
      <c r="B11">
        <v>2013</v>
      </c>
      <c r="C11" t="s">
        <v>44</v>
      </c>
      <c r="D11" s="25">
        <v>41548</v>
      </c>
      <c r="E11" s="26">
        <v>116.3</v>
      </c>
      <c r="F11" s="26">
        <v>115.4</v>
      </c>
      <c r="G11" s="26">
        <v>112.6</v>
      </c>
      <c r="H11" s="26">
        <v>111.7</v>
      </c>
      <c r="I11" s="26">
        <v>107.7</v>
      </c>
      <c r="J11" s="26">
        <v>113.2</v>
      </c>
      <c r="K11" s="26">
        <v>164.9</v>
      </c>
      <c r="L11" s="26">
        <v>108.3</v>
      </c>
      <c r="M11" s="26">
        <v>103.9</v>
      </c>
      <c r="N11" s="26">
        <v>108.2</v>
      </c>
      <c r="O11" s="26">
        <v>111.1</v>
      </c>
      <c r="P11" s="26">
        <v>114.9</v>
      </c>
      <c r="Q11" s="26">
        <v>119.8</v>
      </c>
      <c r="R11" s="26">
        <v>112.2</v>
      </c>
      <c r="S11" s="26">
        <v>113.6</v>
      </c>
      <c r="T11" s="26">
        <v>112.3</v>
      </c>
      <c r="U11" s="26">
        <v>113.4</v>
      </c>
      <c r="V11" s="26" t="s">
        <v>33</v>
      </c>
      <c r="W11" s="26">
        <v>111.6</v>
      </c>
      <c r="X11" s="26">
        <v>110.4</v>
      </c>
      <c r="Y11" s="26">
        <v>108.9</v>
      </c>
      <c r="Z11" s="26">
        <v>109.3</v>
      </c>
      <c r="AA11" s="26">
        <v>108.3</v>
      </c>
      <c r="AB11" s="26">
        <v>110.2</v>
      </c>
      <c r="AC11" s="26">
        <v>107.5</v>
      </c>
      <c r="AD11" s="26">
        <v>109.1</v>
      </c>
      <c r="AE11" s="26">
        <v>115.5</v>
      </c>
      <c r="AF11" s="26">
        <v>1508</v>
      </c>
      <c r="AG11" s="26">
        <v>339.29999999999995</v>
      </c>
      <c r="AH11" s="26">
        <v>222</v>
      </c>
      <c r="AI11" s="26">
        <v>216.4</v>
      </c>
      <c r="AJ11" s="26">
        <v>217.39999999999998</v>
      </c>
      <c r="AK11" s="26">
        <v>2834.8</v>
      </c>
    </row>
    <row r="12" spans="1:37" x14ac:dyDescent="0.25">
      <c r="A12" t="s">
        <v>31</v>
      </c>
      <c r="B12">
        <v>2013</v>
      </c>
      <c r="C12" t="s">
        <v>45</v>
      </c>
      <c r="D12" s="25">
        <v>41579</v>
      </c>
      <c r="E12" s="26">
        <v>117.3</v>
      </c>
      <c r="F12" s="26">
        <v>114.9</v>
      </c>
      <c r="G12" s="26">
        <v>116.2</v>
      </c>
      <c r="H12" s="26">
        <v>112.8</v>
      </c>
      <c r="I12" s="26">
        <v>108.9</v>
      </c>
      <c r="J12" s="26">
        <v>116.6</v>
      </c>
      <c r="K12" s="26">
        <v>178.1</v>
      </c>
      <c r="L12" s="26">
        <v>109.1</v>
      </c>
      <c r="M12" s="26">
        <v>103.6</v>
      </c>
      <c r="N12" s="26">
        <v>109</v>
      </c>
      <c r="O12" s="26">
        <v>111.8</v>
      </c>
      <c r="P12" s="26">
        <v>116</v>
      </c>
      <c r="Q12" s="26">
        <v>122.5</v>
      </c>
      <c r="R12" s="26">
        <v>112.8</v>
      </c>
      <c r="S12" s="26">
        <v>114.6</v>
      </c>
      <c r="T12" s="26">
        <v>113.1</v>
      </c>
      <c r="U12" s="26">
        <v>114.4</v>
      </c>
      <c r="V12" s="26" t="s">
        <v>33</v>
      </c>
      <c r="W12" s="26">
        <v>112.6</v>
      </c>
      <c r="X12" s="26">
        <v>111.3</v>
      </c>
      <c r="Y12" s="26">
        <v>109.7</v>
      </c>
      <c r="Z12" s="26">
        <v>109.6</v>
      </c>
      <c r="AA12" s="26">
        <v>108.7</v>
      </c>
      <c r="AB12" s="26">
        <v>111</v>
      </c>
      <c r="AC12" s="26">
        <v>108.2</v>
      </c>
      <c r="AD12" s="26">
        <v>109.8</v>
      </c>
      <c r="AE12" s="26">
        <v>117.4</v>
      </c>
      <c r="AF12" s="26">
        <v>1536.8</v>
      </c>
      <c r="AG12" s="26">
        <v>342.1</v>
      </c>
      <c r="AH12" s="26">
        <v>223.89999999999998</v>
      </c>
      <c r="AI12" s="26">
        <v>217.9</v>
      </c>
      <c r="AJ12" s="26">
        <v>218.5</v>
      </c>
      <c r="AK12" s="26">
        <v>2872.6</v>
      </c>
    </row>
    <row r="13" spans="1:37" x14ac:dyDescent="0.25">
      <c r="A13" t="s">
        <v>31</v>
      </c>
      <c r="B13">
        <v>2013</v>
      </c>
      <c r="C13" t="s">
        <v>47</v>
      </c>
      <c r="D13" s="25">
        <v>41609</v>
      </c>
      <c r="E13" s="26">
        <v>118.4</v>
      </c>
      <c r="F13" s="26">
        <v>115.9</v>
      </c>
      <c r="G13" s="26">
        <v>120.4</v>
      </c>
      <c r="H13" s="26">
        <v>113.8</v>
      </c>
      <c r="I13" s="26">
        <v>109.5</v>
      </c>
      <c r="J13" s="26">
        <v>115.5</v>
      </c>
      <c r="K13" s="26">
        <v>145.69999999999999</v>
      </c>
      <c r="L13" s="26">
        <v>109.5</v>
      </c>
      <c r="M13" s="26">
        <v>102.9</v>
      </c>
      <c r="N13" s="26">
        <v>109.8</v>
      </c>
      <c r="O13" s="26">
        <v>112.1</v>
      </c>
      <c r="P13" s="26">
        <v>116.8</v>
      </c>
      <c r="Q13" s="26">
        <v>118.7</v>
      </c>
      <c r="R13" s="26">
        <v>113.6</v>
      </c>
      <c r="S13" s="26">
        <v>115.8</v>
      </c>
      <c r="T13" s="26">
        <v>114</v>
      </c>
      <c r="U13" s="26">
        <v>115.5</v>
      </c>
      <c r="V13" s="26" t="s">
        <v>33</v>
      </c>
      <c r="W13" s="26">
        <v>112.8</v>
      </c>
      <c r="X13" s="26">
        <v>112.1</v>
      </c>
      <c r="Y13" s="26">
        <v>110.1</v>
      </c>
      <c r="Z13" s="26">
        <v>109.9</v>
      </c>
      <c r="AA13" s="26">
        <v>109.2</v>
      </c>
      <c r="AB13" s="26">
        <v>111.6</v>
      </c>
      <c r="AC13" s="26">
        <v>108.1</v>
      </c>
      <c r="AD13" s="26">
        <v>110.1</v>
      </c>
      <c r="AE13" s="26">
        <v>115.5</v>
      </c>
      <c r="AF13" s="26">
        <v>1509</v>
      </c>
      <c r="AG13" s="26">
        <v>345.3</v>
      </c>
      <c r="AH13" s="26">
        <v>224.89999999999998</v>
      </c>
      <c r="AI13" s="26">
        <v>218.2</v>
      </c>
      <c r="AJ13" s="26">
        <v>219.3</v>
      </c>
      <c r="AK13" s="26">
        <v>2851.8</v>
      </c>
    </row>
    <row r="14" spans="1:37" x14ac:dyDescent="0.25">
      <c r="A14" t="s">
        <v>31</v>
      </c>
      <c r="B14">
        <v>2014</v>
      </c>
      <c r="C14" t="s">
        <v>32</v>
      </c>
      <c r="D14" s="25">
        <v>41640</v>
      </c>
      <c r="E14" s="26">
        <v>118.9</v>
      </c>
      <c r="F14" s="26">
        <v>117.1</v>
      </c>
      <c r="G14" s="26">
        <v>120.5</v>
      </c>
      <c r="H14" s="26">
        <v>114.4</v>
      </c>
      <c r="I14" s="26">
        <v>109</v>
      </c>
      <c r="J14" s="26">
        <v>115.5</v>
      </c>
      <c r="K14" s="26">
        <v>123.9</v>
      </c>
      <c r="L14" s="26">
        <v>109.6</v>
      </c>
      <c r="M14" s="26">
        <v>101.8</v>
      </c>
      <c r="N14" s="26">
        <v>110.2</v>
      </c>
      <c r="O14" s="26">
        <v>112.4</v>
      </c>
      <c r="P14" s="26">
        <v>117.3</v>
      </c>
      <c r="Q14" s="26">
        <v>116</v>
      </c>
      <c r="R14" s="26">
        <v>114</v>
      </c>
      <c r="S14" s="26">
        <v>116.5</v>
      </c>
      <c r="T14" s="26">
        <v>114.5</v>
      </c>
      <c r="U14" s="26">
        <v>116.2</v>
      </c>
      <c r="V14" s="26" t="s">
        <v>33</v>
      </c>
      <c r="W14" s="26">
        <v>113</v>
      </c>
      <c r="X14" s="26">
        <v>112.6</v>
      </c>
      <c r="Y14" s="26">
        <v>110.6</v>
      </c>
      <c r="Z14" s="26">
        <v>110.5</v>
      </c>
      <c r="AA14" s="26">
        <v>109.6</v>
      </c>
      <c r="AB14" s="26">
        <v>111.8</v>
      </c>
      <c r="AC14" s="26">
        <v>108.3</v>
      </c>
      <c r="AD14" s="26">
        <v>110.6</v>
      </c>
      <c r="AE14" s="26">
        <v>114.2</v>
      </c>
      <c r="AF14" s="26">
        <v>1486.6000000000001</v>
      </c>
      <c r="AG14" s="26">
        <v>347.2</v>
      </c>
      <c r="AH14" s="26">
        <v>225.6</v>
      </c>
      <c r="AI14" s="26">
        <v>218.89999999999998</v>
      </c>
      <c r="AJ14" s="26">
        <v>220.2</v>
      </c>
      <c r="AK14" s="26">
        <v>2834.7999999999997</v>
      </c>
    </row>
    <row r="15" spans="1:37" x14ac:dyDescent="0.25">
      <c r="A15" t="s">
        <v>31</v>
      </c>
      <c r="B15">
        <v>2014</v>
      </c>
      <c r="C15" t="s">
        <v>36</v>
      </c>
      <c r="D15" s="25">
        <v>41671</v>
      </c>
      <c r="E15" s="26">
        <v>119.4</v>
      </c>
      <c r="F15" s="26">
        <v>117.7</v>
      </c>
      <c r="G15" s="26">
        <v>121.2</v>
      </c>
      <c r="H15" s="26">
        <v>115</v>
      </c>
      <c r="I15" s="26">
        <v>109</v>
      </c>
      <c r="J15" s="26">
        <v>116.6</v>
      </c>
      <c r="K15" s="26">
        <v>116</v>
      </c>
      <c r="L15" s="26">
        <v>109.8</v>
      </c>
      <c r="M15" s="26">
        <v>101.1</v>
      </c>
      <c r="N15" s="26">
        <v>110.4</v>
      </c>
      <c r="O15" s="26">
        <v>112.9</v>
      </c>
      <c r="P15" s="26">
        <v>117.8</v>
      </c>
      <c r="Q15" s="26">
        <v>115.3</v>
      </c>
      <c r="R15" s="26">
        <v>114.2</v>
      </c>
      <c r="S15" s="26">
        <v>117.1</v>
      </c>
      <c r="T15" s="26">
        <v>114.5</v>
      </c>
      <c r="U15" s="26">
        <v>116.7</v>
      </c>
      <c r="V15" s="26" t="s">
        <v>33</v>
      </c>
      <c r="W15" s="26">
        <v>113.2</v>
      </c>
      <c r="X15" s="26">
        <v>112.9</v>
      </c>
      <c r="Y15" s="26">
        <v>110.9</v>
      </c>
      <c r="Z15" s="26">
        <v>110.8</v>
      </c>
      <c r="AA15" s="26">
        <v>109.9</v>
      </c>
      <c r="AB15" s="26">
        <v>112</v>
      </c>
      <c r="AC15" s="26">
        <v>108.7</v>
      </c>
      <c r="AD15" s="26">
        <v>110.9</v>
      </c>
      <c r="AE15" s="26">
        <v>114</v>
      </c>
      <c r="AF15" s="26">
        <v>1482.2</v>
      </c>
      <c r="AG15" s="26">
        <v>348.3</v>
      </c>
      <c r="AH15" s="26">
        <v>226.10000000000002</v>
      </c>
      <c r="AI15" s="26">
        <v>219.60000000000002</v>
      </c>
      <c r="AJ15" s="26">
        <v>220.8</v>
      </c>
      <c r="AK15" s="26">
        <v>2834</v>
      </c>
    </row>
    <row r="16" spans="1:37" x14ac:dyDescent="0.25">
      <c r="A16" t="s">
        <v>31</v>
      </c>
      <c r="B16">
        <v>2014</v>
      </c>
      <c r="C16" t="s">
        <v>37</v>
      </c>
      <c r="D16" s="25">
        <v>41699</v>
      </c>
      <c r="E16" s="26">
        <v>120.1</v>
      </c>
      <c r="F16" s="26">
        <v>118.1</v>
      </c>
      <c r="G16" s="26">
        <v>120.7</v>
      </c>
      <c r="H16" s="26">
        <v>116.1</v>
      </c>
      <c r="I16" s="26">
        <v>109.3</v>
      </c>
      <c r="J16" s="26">
        <v>119.6</v>
      </c>
      <c r="K16" s="26">
        <v>117.9</v>
      </c>
      <c r="L16" s="26">
        <v>110.2</v>
      </c>
      <c r="M16" s="26">
        <v>101.2</v>
      </c>
      <c r="N16" s="26">
        <v>110.7</v>
      </c>
      <c r="O16" s="26">
        <v>113</v>
      </c>
      <c r="P16" s="26">
        <v>118.3</v>
      </c>
      <c r="Q16" s="26">
        <v>116.2</v>
      </c>
      <c r="R16" s="26">
        <v>114.6</v>
      </c>
      <c r="S16" s="26">
        <v>117.5</v>
      </c>
      <c r="T16" s="26">
        <v>114.9</v>
      </c>
      <c r="U16" s="26">
        <v>117.2</v>
      </c>
      <c r="V16" s="26" t="s">
        <v>33</v>
      </c>
      <c r="W16" s="26">
        <v>113.4</v>
      </c>
      <c r="X16" s="26">
        <v>113.4</v>
      </c>
      <c r="Y16" s="26">
        <v>111.4</v>
      </c>
      <c r="Z16" s="26">
        <v>111.2</v>
      </c>
      <c r="AA16" s="26">
        <v>110.2</v>
      </c>
      <c r="AB16" s="26">
        <v>112.4</v>
      </c>
      <c r="AC16" s="26">
        <v>108.9</v>
      </c>
      <c r="AD16" s="26">
        <v>111.3</v>
      </c>
      <c r="AE16" s="26">
        <v>114.6</v>
      </c>
      <c r="AF16" s="26">
        <v>1491.4</v>
      </c>
      <c r="AG16" s="26">
        <v>349.6</v>
      </c>
      <c r="AH16" s="26">
        <v>226.8</v>
      </c>
      <c r="AI16" s="26">
        <v>220.3</v>
      </c>
      <c r="AJ16" s="26">
        <v>221.5</v>
      </c>
      <c r="AK16" s="26">
        <v>2847.8000000000006</v>
      </c>
    </row>
    <row r="17" spans="1:37" x14ac:dyDescent="0.25">
      <c r="A17" t="s">
        <v>31</v>
      </c>
      <c r="B17">
        <v>2014</v>
      </c>
      <c r="C17" t="s">
        <v>38</v>
      </c>
      <c r="D17" s="25">
        <v>41730</v>
      </c>
      <c r="E17" s="26">
        <v>120.2</v>
      </c>
      <c r="F17" s="26">
        <v>118.9</v>
      </c>
      <c r="G17" s="26">
        <v>118.1</v>
      </c>
      <c r="H17" s="26">
        <v>117</v>
      </c>
      <c r="I17" s="26">
        <v>109.7</v>
      </c>
      <c r="J17" s="26">
        <v>125.5</v>
      </c>
      <c r="K17" s="26">
        <v>120.5</v>
      </c>
      <c r="L17" s="26">
        <v>111</v>
      </c>
      <c r="M17" s="26">
        <v>102.6</v>
      </c>
      <c r="N17" s="26">
        <v>111.2</v>
      </c>
      <c r="O17" s="26">
        <v>113.5</v>
      </c>
      <c r="P17" s="26">
        <v>118.7</v>
      </c>
      <c r="Q17" s="26">
        <v>117.2</v>
      </c>
      <c r="R17" s="26">
        <v>115.4</v>
      </c>
      <c r="S17" s="26">
        <v>118.1</v>
      </c>
      <c r="T17" s="26">
        <v>116.1</v>
      </c>
      <c r="U17" s="26">
        <v>117.8</v>
      </c>
      <c r="V17" s="26" t="s">
        <v>33</v>
      </c>
      <c r="W17" s="26">
        <v>113.4</v>
      </c>
      <c r="X17" s="26">
        <v>113.7</v>
      </c>
      <c r="Y17" s="26">
        <v>111.8</v>
      </c>
      <c r="Z17" s="26">
        <v>111.2</v>
      </c>
      <c r="AA17" s="26">
        <v>110.5</v>
      </c>
      <c r="AB17" s="26">
        <v>113</v>
      </c>
      <c r="AC17" s="26">
        <v>108.9</v>
      </c>
      <c r="AD17" s="26">
        <v>111.5</v>
      </c>
      <c r="AE17" s="26">
        <v>115.4</v>
      </c>
      <c r="AF17" s="26">
        <v>1504.1000000000001</v>
      </c>
      <c r="AG17" s="26">
        <v>352</v>
      </c>
      <c r="AH17" s="26">
        <v>227.10000000000002</v>
      </c>
      <c r="AI17" s="26">
        <v>220.7</v>
      </c>
      <c r="AJ17" s="26">
        <v>222</v>
      </c>
      <c r="AK17" s="26">
        <v>2865.5</v>
      </c>
    </row>
    <row r="18" spans="1:37" x14ac:dyDescent="0.25">
      <c r="A18" t="s">
        <v>31</v>
      </c>
      <c r="B18">
        <v>2014</v>
      </c>
      <c r="C18" t="s">
        <v>39</v>
      </c>
      <c r="D18" s="25">
        <v>41760</v>
      </c>
      <c r="E18" s="26">
        <v>120.3</v>
      </c>
      <c r="F18" s="26">
        <v>120.2</v>
      </c>
      <c r="G18" s="26">
        <v>116.9</v>
      </c>
      <c r="H18" s="26">
        <v>118</v>
      </c>
      <c r="I18" s="26">
        <v>110.1</v>
      </c>
      <c r="J18" s="26">
        <v>126.3</v>
      </c>
      <c r="K18" s="26">
        <v>123.9</v>
      </c>
      <c r="L18" s="26">
        <v>111.5</v>
      </c>
      <c r="M18" s="26">
        <v>103.5</v>
      </c>
      <c r="N18" s="26">
        <v>111.6</v>
      </c>
      <c r="O18" s="26">
        <v>114.2</v>
      </c>
      <c r="P18" s="26">
        <v>119.2</v>
      </c>
      <c r="Q18" s="26">
        <v>118.2</v>
      </c>
      <c r="R18" s="26">
        <v>116.3</v>
      </c>
      <c r="S18" s="26">
        <v>118.7</v>
      </c>
      <c r="T18" s="26">
        <v>116.8</v>
      </c>
      <c r="U18" s="26">
        <v>118.5</v>
      </c>
      <c r="V18" s="26" t="s">
        <v>33</v>
      </c>
      <c r="W18" s="26">
        <v>113.4</v>
      </c>
      <c r="X18" s="26">
        <v>114.1</v>
      </c>
      <c r="Y18" s="26">
        <v>112.1</v>
      </c>
      <c r="Z18" s="26">
        <v>111.4</v>
      </c>
      <c r="AA18" s="26">
        <v>110.9</v>
      </c>
      <c r="AB18" s="26">
        <v>113.1</v>
      </c>
      <c r="AC18" s="26">
        <v>108.9</v>
      </c>
      <c r="AD18" s="26">
        <v>111.8</v>
      </c>
      <c r="AE18" s="26">
        <v>116</v>
      </c>
      <c r="AF18" s="26">
        <v>1513.8999999999999</v>
      </c>
      <c r="AG18" s="26">
        <v>354</v>
      </c>
      <c r="AH18" s="26">
        <v>227.5</v>
      </c>
      <c r="AI18" s="26">
        <v>221</v>
      </c>
      <c r="AJ18" s="26">
        <v>222.7</v>
      </c>
      <c r="AK18" s="26">
        <v>2879.8999999999996</v>
      </c>
    </row>
    <row r="19" spans="1:37" x14ac:dyDescent="0.25">
      <c r="A19" t="s">
        <v>31</v>
      </c>
      <c r="B19">
        <v>2014</v>
      </c>
      <c r="C19" t="s">
        <v>40</v>
      </c>
      <c r="D19" s="25">
        <v>41791</v>
      </c>
      <c r="E19" s="26">
        <v>120.7</v>
      </c>
      <c r="F19" s="26">
        <v>121.6</v>
      </c>
      <c r="G19" s="26">
        <v>116.1</v>
      </c>
      <c r="H19" s="26">
        <v>119.3</v>
      </c>
      <c r="I19" s="26">
        <v>110.3</v>
      </c>
      <c r="J19" s="26">
        <v>125.8</v>
      </c>
      <c r="K19" s="26">
        <v>129.30000000000001</v>
      </c>
      <c r="L19" s="26">
        <v>112.2</v>
      </c>
      <c r="M19" s="26">
        <v>103.6</v>
      </c>
      <c r="N19" s="26">
        <v>112.3</v>
      </c>
      <c r="O19" s="26">
        <v>114.9</v>
      </c>
      <c r="P19" s="26">
        <v>120.1</v>
      </c>
      <c r="Q19" s="26">
        <v>119.5</v>
      </c>
      <c r="R19" s="26">
        <v>117.3</v>
      </c>
      <c r="S19" s="26">
        <v>119.7</v>
      </c>
      <c r="T19" s="26">
        <v>117.3</v>
      </c>
      <c r="U19" s="26">
        <v>119.3</v>
      </c>
      <c r="V19" s="26" t="s">
        <v>33</v>
      </c>
      <c r="W19" s="26">
        <v>114.4</v>
      </c>
      <c r="X19" s="26">
        <v>114.9</v>
      </c>
      <c r="Y19" s="26">
        <v>112.8</v>
      </c>
      <c r="Z19" s="26">
        <v>112.2</v>
      </c>
      <c r="AA19" s="26">
        <v>111.4</v>
      </c>
      <c r="AB19" s="26">
        <v>114.3</v>
      </c>
      <c r="AC19" s="26">
        <v>108</v>
      </c>
      <c r="AD19" s="26">
        <v>112.3</v>
      </c>
      <c r="AE19" s="26">
        <v>117</v>
      </c>
      <c r="AF19" s="26">
        <v>1525.6999999999998</v>
      </c>
      <c r="AG19" s="26">
        <v>356.3</v>
      </c>
      <c r="AH19" s="26">
        <v>229.3</v>
      </c>
      <c r="AI19" s="26">
        <v>220.8</v>
      </c>
      <c r="AJ19" s="26">
        <v>223.7</v>
      </c>
      <c r="AK19" s="26">
        <v>2899.6</v>
      </c>
    </row>
    <row r="20" spans="1:37" x14ac:dyDescent="0.25">
      <c r="A20" t="s">
        <v>31</v>
      </c>
      <c r="B20">
        <v>2014</v>
      </c>
      <c r="C20" t="s">
        <v>41</v>
      </c>
      <c r="D20" s="25">
        <v>41821</v>
      </c>
      <c r="E20" s="26">
        <v>121.7</v>
      </c>
      <c r="F20" s="26">
        <v>122.5</v>
      </c>
      <c r="G20" s="26">
        <v>117.7</v>
      </c>
      <c r="H20" s="26">
        <v>120.6</v>
      </c>
      <c r="I20" s="26">
        <v>110.4</v>
      </c>
      <c r="J20" s="26">
        <v>129.1</v>
      </c>
      <c r="K20" s="26">
        <v>150.1</v>
      </c>
      <c r="L20" s="26">
        <v>113.2</v>
      </c>
      <c r="M20" s="26">
        <v>104.8</v>
      </c>
      <c r="N20" s="26">
        <v>113.3</v>
      </c>
      <c r="O20" s="26">
        <v>115.6</v>
      </c>
      <c r="P20" s="26">
        <v>120.9</v>
      </c>
      <c r="Q20" s="26">
        <v>123.3</v>
      </c>
      <c r="R20" s="26">
        <v>118</v>
      </c>
      <c r="S20" s="26">
        <v>120.7</v>
      </c>
      <c r="T20" s="26">
        <v>118.3</v>
      </c>
      <c r="U20" s="26">
        <v>120.3</v>
      </c>
      <c r="V20" s="26" t="s">
        <v>33</v>
      </c>
      <c r="W20" s="26">
        <v>115.3</v>
      </c>
      <c r="X20" s="26">
        <v>115.4</v>
      </c>
      <c r="Y20" s="26">
        <v>113.4</v>
      </c>
      <c r="Z20" s="26">
        <v>113.2</v>
      </c>
      <c r="AA20" s="26">
        <v>111.8</v>
      </c>
      <c r="AB20" s="26">
        <v>115.5</v>
      </c>
      <c r="AC20" s="26">
        <v>108.8</v>
      </c>
      <c r="AD20" s="26">
        <v>113.1</v>
      </c>
      <c r="AE20" s="26">
        <v>119.5</v>
      </c>
      <c r="AF20" s="26">
        <v>1563.2</v>
      </c>
      <c r="AG20" s="26">
        <v>359.3</v>
      </c>
      <c r="AH20" s="26">
        <v>230.7</v>
      </c>
      <c r="AI20" s="26">
        <v>222.2</v>
      </c>
      <c r="AJ20" s="26">
        <v>224.89999999999998</v>
      </c>
      <c r="AK20" s="26">
        <v>2947</v>
      </c>
    </row>
    <row r="21" spans="1:37" x14ac:dyDescent="0.25">
      <c r="A21" t="s">
        <v>31</v>
      </c>
      <c r="B21">
        <v>2014</v>
      </c>
      <c r="C21" t="s">
        <v>42</v>
      </c>
      <c r="D21" s="25">
        <v>41852</v>
      </c>
      <c r="E21" s="26">
        <v>121.8</v>
      </c>
      <c r="F21" s="26">
        <v>122.8</v>
      </c>
      <c r="G21" s="26">
        <v>117.8</v>
      </c>
      <c r="H21" s="26">
        <v>121.9</v>
      </c>
      <c r="I21" s="26">
        <v>110.6</v>
      </c>
      <c r="J21" s="26">
        <v>129.69999999999999</v>
      </c>
      <c r="K21" s="26">
        <v>161.1</v>
      </c>
      <c r="L21" s="26">
        <v>114.1</v>
      </c>
      <c r="M21" s="26">
        <v>105.1</v>
      </c>
      <c r="N21" s="26">
        <v>114.6</v>
      </c>
      <c r="O21" s="26">
        <v>115.8</v>
      </c>
      <c r="P21" s="26">
        <v>121.7</v>
      </c>
      <c r="Q21" s="26">
        <v>125.3</v>
      </c>
      <c r="R21" s="26">
        <v>118.8</v>
      </c>
      <c r="S21" s="26">
        <v>120.9</v>
      </c>
      <c r="T21" s="26">
        <v>118.8</v>
      </c>
      <c r="U21" s="26">
        <v>120.7</v>
      </c>
      <c r="V21" s="26" t="s">
        <v>33</v>
      </c>
      <c r="W21" s="26">
        <v>115.4</v>
      </c>
      <c r="X21" s="26">
        <v>115.9</v>
      </c>
      <c r="Y21" s="26">
        <v>114</v>
      </c>
      <c r="Z21" s="26">
        <v>113.2</v>
      </c>
      <c r="AA21" s="26">
        <v>112.2</v>
      </c>
      <c r="AB21" s="26">
        <v>116.2</v>
      </c>
      <c r="AC21" s="26">
        <v>109.4</v>
      </c>
      <c r="AD21" s="26">
        <v>113.5</v>
      </c>
      <c r="AE21" s="26">
        <v>120.7</v>
      </c>
      <c r="AF21" s="26">
        <v>1582.2999999999997</v>
      </c>
      <c r="AG21" s="26">
        <v>360.4</v>
      </c>
      <c r="AH21" s="26">
        <v>231.3</v>
      </c>
      <c r="AI21" s="26">
        <v>223.4</v>
      </c>
      <c r="AJ21" s="26">
        <v>225.7</v>
      </c>
      <c r="AK21" s="26">
        <v>2971.2999999999997</v>
      </c>
    </row>
    <row r="22" spans="1:37" x14ac:dyDescent="0.25">
      <c r="A22" t="s">
        <v>31</v>
      </c>
      <c r="B22">
        <v>2014</v>
      </c>
      <c r="C22" t="s">
        <v>43</v>
      </c>
      <c r="D22" s="25">
        <v>41883</v>
      </c>
      <c r="E22" s="26">
        <v>122.3</v>
      </c>
      <c r="F22" s="26">
        <v>122.4</v>
      </c>
      <c r="G22" s="26">
        <v>117.8</v>
      </c>
      <c r="H22" s="26">
        <v>122.7</v>
      </c>
      <c r="I22" s="26">
        <v>110.4</v>
      </c>
      <c r="J22" s="26">
        <v>129.80000000000001</v>
      </c>
      <c r="K22" s="26">
        <v>158.80000000000001</v>
      </c>
      <c r="L22" s="26">
        <v>115</v>
      </c>
      <c r="M22" s="26">
        <v>104.7</v>
      </c>
      <c r="N22" s="26">
        <v>114.9</v>
      </c>
      <c r="O22" s="26">
        <v>116.5</v>
      </c>
      <c r="P22" s="26">
        <v>122.6</v>
      </c>
      <c r="Q22" s="26">
        <v>125.3</v>
      </c>
      <c r="R22" s="26">
        <v>119.5</v>
      </c>
      <c r="S22" s="26">
        <v>121.7</v>
      </c>
      <c r="T22" s="26">
        <v>119.2</v>
      </c>
      <c r="U22" s="26">
        <v>121.3</v>
      </c>
      <c r="V22" s="26" t="s">
        <v>33</v>
      </c>
      <c r="W22" s="26">
        <v>115.8</v>
      </c>
      <c r="X22" s="26">
        <v>116.7</v>
      </c>
      <c r="Y22" s="26">
        <v>114.5</v>
      </c>
      <c r="Z22" s="26">
        <v>112.8</v>
      </c>
      <c r="AA22" s="26">
        <v>112.6</v>
      </c>
      <c r="AB22" s="26">
        <v>116.6</v>
      </c>
      <c r="AC22" s="26">
        <v>109.1</v>
      </c>
      <c r="AD22" s="26">
        <v>113.7</v>
      </c>
      <c r="AE22" s="26">
        <v>120.9</v>
      </c>
      <c r="AF22" s="26">
        <v>1583.2</v>
      </c>
      <c r="AG22" s="26">
        <v>362.2</v>
      </c>
      <c r="AH22" s="26">
        <v>232.5</v>
      </c>
      <c r="AI22" s="26">
        <v>223.6</v>
      </c>
      <c r="AJ22" s="26">
        <v>226.3</v>
      </c>
      <c r="AK22" s="26">
        <v>2976.7</v>
      </c>
    </row>
    <row r="23" spans="1:37" x14ac:dyDescent="0.25">
      <c r="A23" t="s">
        <v>31</v>
      </c>
      <c r="B23">
        <v>2014</v>
      </c>
      <c r="C23" t="s">
        <v>44</v>
      </c>
      <c r="D23" s="25">
        <v>41913</v>
      </c>
      <c r="E23" s="26">
        <v>122.6</v>
      </c>
      <c r="F23" s="26">
        <v>122.5</v>
      </c>
      <c r="G23" s="26">
        <v>118.3</v>
      </c>
      <c r="H23" s="26">
        <v>123.2</v>
      </c>
      <c r="I23" s="26">
        <v>110.5</v>
      </c>
      <c r="J23" s="26">
        <v>128.9</v>
      </c>
      <c r="K23" s="26">
        <v>155.30000000000001</v>
      </c>
      <c r="L23" s="26">
        <v>115.5</v>
      </c>
      <c r="M23" s="26">
        <v>104</v>
      </c>
      <c r="N23" s="26">
        <v>115.3</v>
      </c>
      <c r="O23" s="26">
        <v>116.8</v>
      </c>
      <c r="P23" s="26">
        <v>123.2</v>
      </c>
      <c r="Q23" s="26">
        <v>125.1</v>
      </c>
      <c r="R23" s="26">
        <v>120</v>
      </c>
      <c r="S23" s="26">
        <v>122.7</v>
      </c>
      <c r="T23" s="26">
        <v>120.3</v>
      </c>
      <c r="U23" s="26">
        <v>122.3</v>
      </c>
      <c r="V23" s="26" t="s">
        <v>33</v>
      </c>
      <c r="W23" s="26">
        <v>116.4</v>
      </c>
      <c r="X23" s="26">
        <v>117.5</v>
      </c>
      <c r="Y23" s="26">
        <v>115.3</v>
      </c>
      <c r="Z23" s="26">
        <v>112.6</v>
      </c>
      <c r="AA23" s="26">
        <v>113</v>
      </c>
      <c r="AB23" s="26">
        <v>116.9</v>
      </c>
      <c r="AC23" s="26">
        <v>109.3</v>
      </c>
      <c r="AD23" s="26">
        <v>114</v>
      </c>
      <c r="AE23" s="26">
        <v>121</v>
      </c>
      <c r="AF23" s="26">
        <v>1581.1999999999998</v>
      </c>
      <c r="AG23" s="26">
        <v>365.3</v>
      </c>
      <c r="AH23" s="26">
        <v>233.9</v>
      </c>
      <c r="AI23" s="26">
        <v>224.6</v>
      </c>
      <c r="AJ23" s="26">
        <v>227</v>
      </c>
      <c r="AK23" s="26">
        <v>2981.5</v>
      </c>
    </row>
    <row r="24" spans="1:37" x14ac:dyDescent="0.25">
      <c r="A24" t="s">
        <v>31</v>
      </c>
      <c r="B24">
        <v>2014</v>
      </c>
      <c r="C24" t="s">
        <v>46</v>
      </c>
      <c r="D24" s="25">
        <v>41944</v>
      </c>
      <c r="E24" s="26">
        <v>122.7</v>
      </c>
      <c r="F24" s="26">
        <v>122.6</v>
      </c>
      <c r="G24" s="26">
        <v>119.9</v>
      </c>
      <c r="H24" s="26">
        <v>124</v>
      </c>
      <c r="I24" s="26">
        <v>110.5</v>
      </c>
      <c r="J24" s="26">
        <v>128.80000000000001</v>
      </c>
      <c r="K24" s="26">
        <v>152</v>
      </c>
      <c r="L24" s="26">
        <v>116.2</v>
      </c>
      <c r="M24" s="26">
        <v>103.3</v>
      </c>
      <c r="N24" s="26">
        <v>115.8</v>
      </c>
      <c r="O24" s="26">
        <v>116.8</v>
      </c>
      <c r="P24" s="26">
        <v>124.5</v>
      </c>
      <c r="Q24" s="26">
        <v>124.9</v>
      </c>
      <c r="R24" s="26">
        <v>120.8</v>
      </c>
      <c r="S24" s="26">
        <v>123.3</v>
      </c>
      <c r="T24" s="26">
        <v>120.5</v>
      </c>
      <c r="U24" s="26">
        <v>122.9</v>
      </c>
      <c r="V24" s="26" t="s">
        <v>33</v>
      </c>
      <c r="W24" s="26">
        <v>117.3</v>
      </c>
      <c r="X24" s="26">
        <v>118.1</v>
      </c>
      <c r="Y24" s="26">
        <v>115.9</v>
      </c>
      <c r="Z24" s="26">
        <v>112</v>
      </c>
      <c r="AA24" s="26">
        <v>113.3</v>
      </c>
      <c r="AB24" s="26">
        <v>117.2</v>
      </c>
      <c r="AC24" s="26">
        <v>108.8</v>
      </c>
      <c r="AD24" s="26">
        <v>114.1</v>
      </c>
      <c r="AE24" s="26">
        <v>121.1</v>
      </c>
      <c r="AF24" s="26">
        <v>1582</v>
      </c>
      <c r="AG24" s="26">
        <v>366.70000000000005</v>
      </c>
      <c r="AH24" s="26">
        <v>235.39999999999998</v>
      </c>
      <c r="AI24" s="26">
        <v>224.7</v>
      </c>
      <c r="AJ24" s="26">
        <v>227.39999999999998</v>
      </c>
      <c r="AK24" s="26">
        <v>2986.2</v>
      </c>
    </row>
    <row r="25" spans="1:37" x14ac:dyDescent="0.25">
      <c r="A25" t="s">
        <v>31</v>
      </c>
      <c r="B25">
        <v>2014</v>
      </c>
      <c r="C25" t="s">
        <v>47</v>
      </c>
      <c r="D25" s="25">
        <v>41974</v>
      </c>
      <c r="E25" s="26">
        <v>122.4</v>
      </c>
      <c r="F25" s="26">
        <v>122.4</v>
      </c>
      <c r="G25" s="26">
        <v>121.8</v>
      </c>
      <c r="H25" s="26">
        <v>124.2</v>
      </c>
      <c r="I25" s="26">
        <v>110.2</v>
      </c>
      <c r="J25" s="26">
        <v>128.6</v>
      </c>
      <c r="K25" s="26">
        <v>140.30000000000001</v>
      </c>
      <c r="L25" s="26">
        <v>116.3</v>
      </c>
      <c r="M25" s="26">
        <v>102</v>
      </c>
      <c r="N25" s="26">
        <v>116</v>
      </c>
      <c r="O25" s="26">
        <v>117.3</v>
      </c>
      <c r="P25" s="26">
        <v>124.8</v>
      </c>
      <c r="Q25" s="26">
        <v>123.3</v>
      </c>
      <c r="R25" s="26">
        <v>121.7</v>
      </c>
      <c r="S25" s="26">
        <v>123.8</v>
      </c>
      <c r="T25" s="26">
        <v>120.6</v>
      </c>
      <c r="U25" s="26">
        <v>123.3</v>
      </c>
      <c r="V25" s="26" t="s">
        <v>33</v>
      </c>
      <c r="W25" s="26">
        <v>117.4</v>
      </c>
      <c r="X25" s="26">
        <v>118.2</v>
      </c>
      <c r="Y25" s="26">
        <v>116.2</v>
      </c>
      <c r="Z25" s="26">
        <v>111.5</v>
      </c>
      <c r="AA25" s="26">
        <v>113.3</v>
      </c>
      <c r="AB25" s="26">
        <v>117.7</v>
      </c>
      <c r="AC25" s="26">
        <v>109.4</v>
      </c>
      <c r="AD25" s="26">
        <v>114.2</v>
      </c>
      <c r="AE25" s="26">
        <v>120.3</v>
      </c>
      <c r="AF25" s="26">
        <v>1569.6</v>
      </c>
      <c r="AG25" s="26">
        <v>367.7</v>
      </c>
      <c r="AH25" s="26">
        <v>235.60000000000002</v>
      </c>
      <c r="AI25" s="26">
        <v>225.60000000000002</v>
      </c>
      <c r="AJ25" s="26">
        <v>227.5</v>
      </c>
      <c r="AK25" s="26">
        <v>2976.8999999999996</v>
      </c>
    </row>
    <row r="26" spans="1:37" x14ac:dyDescent="0.25">
      <c r="A26" t="s">
        <v>31</v>
      </c>
      <c r="B26">
        <v>2015</v>
      </c>
      <c r="C26" t="s">
        <v>32</v>
      </c>
      <c r="D26" s="25">
        <v>42005</v>
      </c>
      <c r="E26" s="26">
        <v>123.1</v>
      </c>
      <c r="F26" s="26">
        <v>123.1</v>
      </c>
      <c r="G26" s="26">
        <v>122.1</v>
      </c>
      <c r="H26" s="26">
        <v>124.9</v>
      </c>
      <c r="I26" s="26">
        <v>111</v>
      </c>
      <c r="J26" s="26">
        <v>130.4</v>
      </c>
      <c r="K26" s="26">
        <v>132.30000000000001</v>
      </c>
      <c r="L26" s="26">
        <v>117.2</v>
      </c>
      <c r="M26" s="26">
        <v>100.5</v>
      </c>
      <c r="N26" s="26">
        <v>117.2</v>
      </c>
      <c r="O26" s="26">
        <v>117.9</v>
      </c>
      <c r="P26" s="26">
        <v>125.6</v>
      </c>
      <c r="Q26" s="26">
        <v>122.8</v>
      </c>
      <c r="R26" s="26">
        <v>122.7</v>
      </c>
      <c r="S26" s="26">
        <v>124.4</v>
      </c>
      <c r="T26" s="26">
        <v>121.6</v>
      </c>
      <c r="U26" s="26">
        <v>124</v>
      </c>
      <c r="V26" s="26" t="s">
        <v>33</v>
      </c>
      <c r="W26" s="26">
        <v>118.4</v>
      </c>
      <c r="X26" s="26">
        <v>118.9</v>
      </c>
      <c r="Y26" s="26">
        <v>116.6</v>
      </c>
      <c r="Z26" s="26">
        <v>111</v>
      </c>
      <c r="AA26" s="26">
        <v>114</v>
      </c>
      <c r="AB26" s="26">
        <v>118.2</v>
      </c>
      <c r="AC26" s="26">
        <v>110.2</v>
      </c>
      <c r="AD26" s="26">
        <v>114.5</v>
      </c>
      <c r="AE26" s="26">
        <v>120.3</v>
      </c>
      <c r="AF26" s="26">
        <v>1568.1</v>
      </c>
      <c r="AG26" s="26">
        <v>370</v>
      </c>
      <c r="AH26" s="26">
        <v>237.3</v>
      </c>
      <c r="AI26" s="26">
        <v>226.8</v>
      </c>
      <c r="AJ26" s="26">
        <v>228.5</v>
      </c>
      <c r="AK26" s="26">
        <v>2982.6000000000004</v>
      </c>
    </row>
    <row r="27" spans="1:37" x14ac:dyDescent="0.25">
      <c r="A27" t="s">
        <v>31</v>
      </c>
      <c r="B27">
        <v>2015</v>
      </c>
      <c r="C27" t="s">
        <v>36</v>
      </c>
      <c r="D27" s="25">
        <v>42036</v>
      </c>
      <c r="E27" s="26">
        <v>123.4</v>
      </c>
      <c r="F27" s="26">
        <v>124.4</v>
      </c>
      <c r="G27" s="26">
        <v>122.1</v>
      </c>
      <c r="H27" s="26">
        <v>125.8</v>
      </c>
      <c r="I27" s="26">
        <v>111.5</v>
      </c>
      <c r="J27" s="26">
        <v>129.4</v>
      </c>
      <c r="K27" s="26">
        <v>128.19999999999999</v>
      </c>
      <c r="L27" s="26">
        <v>118.8</v>
      </c>
      <c r="M27" s="26">
        <v>100</v>
      </c>
      <c r="N27" s="26">
        <v>118.6</v>
      </c>
      <c r="O27" s="26">
        <v>118.8</v>
      </c>
      <c r="P27" s="26">
        <v>126.8</v>
      </c>
      <c r="Q27" s="26">
        <v>122.8</v>
      </c>
      <c r="R27" s="26">
        <v>124.2</v>
      </c>
      <c r="S27" s="26">
        <v>125.4</v>
      </c>
      <c r="T27" s="26">
        <v>122.7</v>
      </c>
      <c r="U27" s="26">
        <v>125</v>
      </c>
      <c r="V27" s="26" t="s">
        <v>33</v>
      </c>
      <c r="W27" s="26">
        <v>120</v>
      </c>
      <c r="X27" s="26">
        <v>119.6</v>
      </c>
      <c r="Y27" s="26">
        <v>117.7</v>
      </c>
      <c r="Z27" s="26">
        <v>110.9</v>
      </c>
      <c r="AA27" s="26">
        <v>114.8</v>
      </c>
      <c r="AB27" s="26">
        <v>118.7</v>
      </c>
      <c r="AC27" s="26">
        <v>110.8</v>
      </c>
      <c r="AD27" s="26">
        <v>115</v>
      </c>
      <c r="AE27" s="26">
        <v>120.6</v>
      </c>
      <c r="AF27" s="26">
        <v>1570.5999999999997</v>
      </c>
      <c r="AG27" s="26">
        <v>373.1</v>
      </c>
      <c r="AH27" s="26">
        <v>239.6</v>
      </c>
      <c r="AI27" s="26">
        <v>228.5</v>
      </c>
      <c r="AJ27" s="26">
        <v>229.8</v>
      </c>
      <c r="AK27" s="26">
        <v>2995.3999999999996</v>
      </c>
    </row>
    <row r="28" spans="1:37" x14ac:dyDescent="0.25">
      <c r="A28" t="s">
        <v>31</v>
      </c>
      <c r="B28">
        <v>2015</v>
      </c>
      <c r="C28" t="s">
        <v>37</v>
      </c>
      <c r="D28" s="25">
        <v>42064</v>
      </c>
      <c r="E28" s="26">
        <v>123.3</v>
      </c>
      <c r="F28" s="26">
        <v>124.7</v>
      </c>
      <c r="G28" s="26">
        <v>118.9</v>
      </c>
      <c r="H28" s="26">
        <v>126</v>
      </c>
      <c r="I28" s="26">
        <v>111.8</v>
      </c>
      <c r="J28" s="26">
        <v>130.9</v>
      </c>
      <c r="K28" s="26">
        <v>128</v>
      </c>
      <c r="L28" s="26">
        <v>119.9</v>
      </c>
      <c r="M28" s="26">
        <v>98.9</v>
      </c>
      <c r="N28" s="26">
        <v>119.4</v>
      </c>
      <c r="O28" s="26">
        <v>118.9</v>
      </c>
      <c r="P28" s="26">
        <v>127.7</v>
      </c>
      <c r="Q28" s="26">
        <v>123.1</v>
      </c>
      <c r="R28" s="26">
        <v>124.7</v>
      </c>
      <c r="S28" s="26">
        <v>126</v>
      </c>
      <c r="T28" s="26">
        <v>122.9</v>
      </c>
      <c r="U28" s="26">
        <v>125.5</v>
      </c>
      <c r="V28" s="26" t="s">
        <v>33</v>
      </c>
      <c r="W28" s="26">
        <v>120.6</v>
      </c>
      <c r="X28" s="26">
        <v>120.2</v>
      </c>
      <c r="Y28" s="26">
        <v>118.2</v>
      </c>
      <c r="Z28" s="26">
        <v>111.6</v>
      </c>
      <c r="AA28" s="26">
        <v>115.5</v>
      </c>
      <c r="AB28" s="26">
        <v>119.4</v>
      </c>
      <c r="AC28" s="26">
        <v>110.8</v>
      </c>
      <c r="AD28" s="26">
        <v>115.5</v>
      </c>
      <c r="AE28" s="26">
        <v>121.1</v>
      </c>
      <c r="AF28" s="26">
        <v>1571.5</v>
      </c>
      <c r="AG28" s="26">
        <v>374.4</v>
      </c>
      <c r="AH28" s="26">
        <v>240.8</v>
      </c>
      <c r="AI28" s="26">
        <v>229</v>
      </c>
      <c r="AJ28" s="26">
        <v>231</v>
      </c>
      <c r="AK28" s="26">
        <v>3002.4</v>
      </c>
    </row>
    <row r="29" spans="1:37" x14ac:dyDescent="0.25">
      <c r="A29" t="s">
        <v>31</v>
      </c>
      <c r="B29">
        <v>2015</v>
      </c>
      <c r="C29" t="s">
        <v>38</v>
      </c>
      <c r="D29" s="25">
        <v>42095</v>
      </c>
      <c r="E29" s="26">
        <v>123.3</v>
      </c>
      <c r="F29" s="26">
        <v>125.5</v>
      </c>
      <c r="G29" s="26">
        <v>117.2</v>
      </c>
      <c r="H29" s="26">
        <v>126.8</v>
      </c>
      <c r="I29" s="26">
        <v>111.9</v>
      </c>
      <c r="J29" s="26">
        <v>134.19999999999999</v>
      </c>
      <c r="K29" s="26">
        <v>127.5</v>
      </c>
      <c r="L29" s="26">
        <v>121.5</v>
      </c>
      <c r="M29" s="26">
        <v>97.8</v>
      </c>
      <c r="N29" s="26">
        <v>119.8</v>
      </c>
      <c r="O29" s="26">
        <v>119.4</v>
      </c>
      <c r="P29" s="26">
        <v>128.69999999999999</v>
      </c>
      <c r="Q29" s="26">
        <v>123.6</v>
      </c>
      <c r="R29" s="26">
        <v>125.7</v>
      </c>
      <c r="S29" s="26">
        <v>126.4</v>
      </c>
      <c r="T29" s="26">
        <v>123.3</v>
      </c>
      <c r="U29" s="26">
        <v>126</v>
      </c>
      <c r="V29" s="26" t="s">
        <v>33</v>
      </c>
      <c r="W29" s="26">
        <v>121.2</v>
      </c>
      <c r="X29" s="26">
        <v>120.9</v>
      </c>
      <c r="Y29" s="26">
        <v>118.6</v>
      </c>
      <c r="Z29" s="26">
        <v>111.9</v>
      </c>
      <c r="AA29" s="26">
        <v>116.2</v>
      </c>
      <c r="AB29" s="26">
        <v>119.9</v>
      </c>
      <c r="AC29" s="26">
        <v>111.6</v>
      </c>
      <c r="AD29" s="26">
        <v>116</v>
      </c>
      <c r="AE29" s="26">
        <v>121.5</v>
      </c>
      <c r="AF29" s="26">
        <v>1577.2</v>
      </c>
      <c r="AG29" s="26">
        <v>375.7</v>
      </c>
      <c r="AH29" s="26">
        <v>242.10000000000002</v>
      </c>
      <c r="AI29" s="26">
        <v>230.2</v>
      </c>
      <c r="AJ29" s="26">
        <v>232.2</v>
      </c>
      <c r="AK29" s="26">
        <v>3014.8999999999996</v>
      </c>
    </row>
    <row r="30" spans="1:37" x14ac:dyDescent="0.25">
      <c r="A30" t="s">
        <v>31</v>
      </c>
      <c r="B30">
        <v>2015</v>
      </c>
      <c r="C30" t="s">
        <v>39</v>
      </c>
      <c r="D30" s="25">
        <v>42125</v>
      </c>
      <c r="E30" s="26">
        <v>123.5</v>
      </c>
      <c r="F30" s="26">
        <v>127.1</v>
      </c>
      <c r="G30" s="26">
        <v>117.3</v>
      </c>
      <c r="H30" s="26">
        <v>127.7</v>
      </c>
      <c r="I30" s="26">
        <v>112.5</v>
      </c>
      <c r="J30" s="26">
        <v>134.1</v>
      </c>
      <c r="K30" s="26">
        <v>128.5</v>
      </c>
      <c r="L30" s="26">
        <v>124.3</v>
      </c>
      <c r="M30" s="26">
        <v>97.6</v>
      </c>
      <c r="N30" s="26">
        <v>120.7</v>
      </c>
      <c r="O30" s="26">
        <v>120.2</v>
      </c>
      <c r="P30" s="26">
        <v>129.80000000000001</v>
      </c>
      <c r="Q30" s="26">
        <v>124.4</v>
      </c>
      <c r="R30" s="26">
        <v>126.7</v>
      </c>
      <c r="S30" s="26">
        <v>127.3</v>
      </c>
      <c r="T30" s="26">
        <v>124.1</v>
      </c>
      <c r="U30" s="26">
        <v>126.8</v>
      </c>
      <c r="V30" s="26" t="s">
        <v>33</v>
      </c>
      <c r="W30" s="26">
        <v>121.9</v>
      </c>
      <c r="X30" s="26">
        <v>121.5</v>
      </c>
      <c r="Y30" s="26">
        <v>119.4</v>
      </c>
      <c r="Z30" s="26">
        <v>113.3</v>
      </c>
      <c r="AA30" s="26">
        <v>116.7</v>
      </c>
      <c r="AB30" s="26">
        <v>120.5</v>
      </c>
      <c r="AC30" s="26">
        <v>112.3</v>
      </c>
      <c r="AD30" s="26">
        <v>116.9</v>
      </c>
      <c r="AE30" s="26">
        <v>122.4</v>
      </c>
      <c r="AF30" s="26">
        <v>1587.7</v>
      </c>
      <c r="AG30" s="26">
        <v>378.2</v>
      </c>
      <c r="AH30" s="26">
        <v>243.4</v>
      </c>
      <c r="AI30" s="26">
        <v>231.7</v>
      </c>
      <c r="AJ30" s="26">
        <v>233.60000000000002</v>
      </c>
      <c r="AK30" s="26">
        <v>3035.1</v>
      </c>
    </row>
    <row r="31" spans="1:37" x14ac:dyDescent="0.25">
      <c r="A31" t="s">
        <v>31</v>
      </c>
      <c r="B31">
        <v>2015</v>
      </c>
      <c r="C31" t="s">
        <v>40</v>
      </c>
      <c r="D31" s="25">
        <v>42156</v>
      </c>
      <c r="E31" s="26">
        <v>124.1</v>
      </c>
      <c r="F31" s="26">
        <v>130.4</v>
      </c>
      <c r="G31" s="26">
        <v>122.1</v>
      </c>
      <c r="H31" s="26">
        <v>128.69999999999999</v>
      </c>
      <c r="I31" s="26">
        <v>114.1</v>
      </c>
      <c r="J31" s="26">
        <v>133.19999999999999</v>
      </c>
      <c r="K31" s="26">
        <v>135.19999999999999</v>
      </c>
      <c r="L31" s="26">
        <v>131.9</v>
      </c>
      <c r="M31" s="26">
        <v>96.3</v>
      </c>
      <c r="N31" s="26">
        <v>123</v>
      </c>
      <c r="O31" s="26">
        <v>121.1</v>
      </c>
      <c r="P31" s="26">
        <v>131.19999999999999</v>
      </c>
      <c r="Q31" s="26">
        <v>126.6</v>
      </c>
      <c r="R31" s="26">
        <v>128.19999999999999</v>
      </c>
      <c r="S31" s="26">
        <v>128.4</v>
      </c>
      <c r="T31" s="26">
        <v>125.1</v>
      </c>
      <c r="U31" s="26">
        <v>128</v>
      </c>
      <c r="V31" s="26" t="s">
        <v>33</v>
      </c>
      <c r="W31" s="26">
        <v>122.6</v>
      </c>
      <c r="X31" s="26">
        <v>122.8</v>
      </c>
      <c r="Y31" s="26">
        <v>120.4</v>
      </c>
      <c r="Z31" s="26">
        <v>114.2</v>
      </c>
      <c r="AA31" s="26">
        <v>117.9</v>
      </c>
      <c r="AB31" s="26">
        <v>122</v>
      </c>
      <c r="AC31" s="26">
        <v>113</v>
      </c>
      <c r="AD31" s="26">
        <v>117.9</v>
      </c>
      <c r="AE31" s="26">
        <v>124.1</v>
      </c>
      <c r="AF31" s="26">
        <v>1617.8999999999999</v>
      </c>
      <c r="AG31" s="26">
        <v>381.5</v>
      </c>
      <c r="AH31" s="26">
        <v>245.39999999999998</v>
      </c>
      <c r="AI31" s="26">
        <v>233.4</v>
      </c>
      <c r="AJ31" s="26">
        <v>235.8</v>
      </c>
      <c r="AK31" s="26">
        <v>3078.4</v>
      </c>
    </row>
    <row r="32" spans="1:37" x14ac:dyDescent="0.25">
      <c r="A32" t="s">
        <v>31</v>
      </c>
      <c r="B32">
        <v>2015</v>
      </c>
      <c r="C32" t="s">
        <v>41</v>
      </c>
      <c r="D32" s="25">
        <v>42186</v>
      </c>
      <c r="E32" s="26">
        <v>124</v>
      </c>
      <c r="F32" s="26">
        <v>131.5</v>
      </c>
      <c r="G32" s="26">
        <v>122</v>
      </c>
      <c r="H32" s="26">
        <v>128.69999999999999</v>
      </c>
      <c r="I32" s="26">
        <v>113.5</v>
      </c>
      <c r="J32" s="26">
        <v>133.30000000000001</v>
      </c>
      <c r="K32" s="26">
        <v>140.80000000000001</v>
      </c>
      <c r="L32" s="26">
        <v>133.80000000000001</v>
      </c>
      <c r="M32" s="26">
        <v>94.1</v>
      </c>
      <c r="N32" s="26">
        <v>123.4</v>
      </c>
      <c r="O32" s="26">
        <v>121</v>
      </c>
      <c r="P32" s="26">
        <v>131.69999999999999</v>
      </c>
      <c r="Q32" s="26">
        <v>127.5</v>
      </c>
      <c r="R32" s="26">
        <v>129.4</v>
      </c>
      <c r="S32" s="26">
        <v>128.80000000000001</v>
      </c>
      <c r="T32" s="26">
        <v>125.5</v>
      </c>
      <c r="U32" s="26">
        <v>128.30000000000001</v>
      </c>
      <c r="V32" s="26" t="s">
        <v>33</v>
      </c>
      <c r="W32" s="26">
        <v>123</v>
      </c>
      <c r="X32" s="26">
        <v>123</v>
      </c>
      <c r="Y32" s="26">
        <v>120.8</v>
      </c>
      <c r="Z32" s="26">
        <v>114.1</v>
      </c>
      <c r="AA32" s="26">
        <v>118</v>
      </c>
      <c r="AB32" s="26">
        <v>122.9</v>
      </c>
      <c r="AC32" s="26">
        <v>112.7</v>
      </c>
      <c r="AD32" s="26">
        <v>118.1</v>
      </c>
      <c r="AE32" s="26">
        <v>124.7</v>
      </c>
      <c r="AF32" s="26">
        <v>1625.3</v>
      </c>
      <c r="AG32" s="26">
        <v>382.6</v>
      </c>
      <c r="AH32" s="26">
        <v>246</v>
      </c>
      <c r="AI32" s="26">
        <v>233.5</v>
      </c>
      <c r="AJ32" s="26">
        <v>236.1</v>
      </c>
      <c r="AK32" s="26">
        <v>3089.8999999999996</v>
      </c>
    </row>
    <row r="33" spans="1:37" x14ac:dyDescent="0.25">
      <c r="A33" t="s">
        <v>31</v>
      </c>
      <c r="B33">
        <v>2015</v>
      </c>
      <c r="C33" t="s">
        <v>42</v>
      </c>
      <c r="D33" s="25">
        <v>42217</v>
      </c>
      <c r="E33" s="26">
        <v>124.7</v>
      </c>
      <c r="F33" s="26">
        <v>131.30000000000001</v>
      </c>
      <c r="G33" s="26">
        <v>121.3</v>
      </c>
      <c r="H33" s="26">
        <v>128.80000000000001</v>
      </c>
      <c r="I33" s="26">
        <v>114</v>
      </c>
      <c r="J33" s="26">
        <v>134.19999999999999</v>
      </c>
      <c r="K33" s="26">
        <v>153.6</v>
      </c>
      <c r="L33" s="26">
        <v>137.9</v>
      </c>
      <c r="M33" s="26">
        <v>93.1</v>
      </c>
      <c r="N33" s="26">
        <v>123.9</v>
      </c>
      <c r="O33" s="26">
        <v>121.5</v>
      </c>
      <c r="P33" s="26">
        <v>132.5</v>
      </c>
      <c r="Q33" s="26">
        <v>129.80000000000001</v>
      </c>
      <c r="R33" s="26">
        <v>130.1</v>
      </c>
      <c r="S33" s="26">
        <v>129.5</v>
      </c>
      <c r="T33" s="26">
        <v>126.3</v>
      </c>
      <c r="U33" s="26">
        <v>129</v>
      </c>
      <c r="V33" s="26" t="s">
        <v>33</v>
      </c>
      <c r="W33" s="26">
        <v>123.8</v>
      </c>
      <c r="X33" s="26">
        <v>123.7</v>
      </c>
      <c r="Y33" s="26">
        <v>121.1</v>
      </c>
      <c r="Z33" s="26">
        <v>113.6</v>
      </c>
      <c r="AA33" s="26">
        <v>118.5</v>
      </c>
      <c r="AB33" s="26">
        <v>123.6</v>
      </c>
      <c r="AC33" s="26">
        <v>112.5</v>
      </c>
      <c r="AD33" s="26">
        <v>118.2</v>
      </c>
      <c r="AE33" s="26">
        <v>126.1</v>
      </c>
      <c r="AF33" s="26">
        <v>1646.6</v>
      </c>
      <c r="AG33" s="26">
        <v>384.8</v>
      </c>
      <c r="AH33" s="26">
        <v>247.5</v>
      </c>
      <c r="AI33" s="26">
        <v>233.6</v>
      </c>
      <c r="AJ33" s="26">
        <v>236.7</v>
      </c>
      <c r="AK33" s="26">
        <v>3116.4999999999995</v>
      </c>
    </row>
    <row r="34" spans="1:37" x14ac:dyDescent="0.25">
      <c r="A34" t="s">
        <v>31</v>
      </c>
      <c r="B34">
        <v>2015</v>
      </c>
      <c r="C34" t="s">
        <v>43</v>
      </c>
      <c r="D34" s="25">
        <v>42248</v>
      </c>
      <c r="E34" s="26">
        <v>125.1</v>
      </c>
      <c r="F34" s="26">
        <v>131.1</v>
      </c>
      <c r="G34" s="26">
        <v>120.7</v>
      </c>
      <c r="H34" s="26">
        <v>129.19999999999999</v>
      </c>
      <c r="I34" s="26">
        <v>114.7</v>
      </c>
      <c r="J34" s="26">
        <v>132.30000000000001</v>
      </c>
      <c r="K34" s="26">
        <v>158.9</v>
      </c>
      <c r="L34" s="26">
        <v>142.1</v>
      </c>
      <c r="M34" s="26">
        <v>92.5</v>
      </c>
      <c r="N34" s="26">
        <v>125.4</v>
      </c>
      <c r="O34" s="26">
        <v>121.9</v>
      </c>
      <c r="P34" s="26">
        <v>132.69999999999999</v>
      </c>
      <c r="Q34" s="26">
        <v>131</v>
      </c>
      <c r="R34" s="26">
        <v>131</v>
      </c>
      <c r="S34" s="26">
        <v>130.4</v>
      </c>
      <c r="T34" s="26">
        <v>126.8</v>
      </c>
      <c r="U34" s="26">
        <v>129.9</v>
      </c>
      <c r="V34" s="26" t="s">
        <v>33</v>
      </c>
      <c r="W34" s="26">
        <v>123.7</v>
      </c>
      <c r="X34" s="26">
        <v>124.5</v>
      </c>
      <c r="Y34" s="26">
        <v>121.4</v>
      </c>
      <c r="Z34" s="26">
        <v>113.8</v>
      </c>
      <c r="AA34" s="26">
        <v>119.6</v>
      </c>
      <c r="AB34" s="26">
        <v>124.5</v>
      </c>
      <c r="AC34" s="26">
        <v>113.7</v>
      </c>
      <c r="AD34" s="26">
        <v>118.8</v>
      </c>
      <c r="AE34" s="26">
        <v>127</v>
      </c>
      <c r="AF34" s="26">
        <v>1657.6000000000001</v>
      </c>
      <c r="AG34" s="26">
        <v>387.1</v>
      </c>
      <c r="AH34" s="26">
        <v>248.2</v>
      </c>
      <c r="AI34" s="26">
        <v>235.10000000000002</v>
      </c>
      <c r="AJ34" s="26">
        <v>238.39999999999998</v>
      </c>
      <c r="AK34" s="26">
        <v>3135.7</v>
      </c>
    </row>
    <row r="35" spans="1:37" x14ac:dyDescent="0.25">
      <c r="A35" t="s">
        <v>31</v>
      </c>
      <c r="B35">
        <v>2015</v>
      </c>
      <c r="C35" t="s">
        <v>44</v>
      </c>
      <c r="D35" s="25">
        <v>42278</v>
      </c>
      <c r="E35" s="26">
        <v>125.6</v>
      </c>
      <c r="F35" s="26">
        <v>130.4</v>
      </c>
      <c r="G35" s="26">
        <v>120.8</v>
      </c>
      <c r="H35" s="26">
        <v>129.4</v>
      </c>
      <c r="I35" s="26">
        <v>115.8</v>
      </c>
      <c r="J35" s="26">
        <v>133.19999999999999</v>
      </c>
      <c r="K35" s="26">
        <v>157.69999999999999</v>
      </c>
      <c r="L35" s="26">
        <v>154.19999999999999</v>
      </c>
      <c r="M35" s="26">
        <v>93.7</v>
      </c>
      <c r="N35" s="26">
        <v>126.6</v>
      </c>
      <c r="O35" s="26">
        <v>122.3</v>
      </c>
      <c r="P35" s="26">
        <v>133.1</v>
      </c>
      <c r="Q35" s="26">
        <v>131.80000000000001</v>
      </c>
      <c r="R35" s="26">
        <v>131.5</v>
      </c>
      <c r="S35" s="26">
        <v>131.1</v>
      </c>
      <c r="T35" s="26">
        <v>127.3</v>
      </c>
      <c r="U35" s="26">
        <v>130.6</v>
      </c>
      <c r="V35" s="26" t="s">
        <v>33</v>
      </c>
      <c r="W35" s="26">
        <v>124.4</v>
      </c>
      <c r="X35" s="26">
        <v>125.1</v>
      </c>
      <c r="Y35" s="26">
        <v>122</v>
      </c>
      <c r="Z35" s="26">
        <v>113.8</v>
      </c>
      <c r="AA35" s="26">
        <v>120.1</v>
      </c>
      <c r="AB35" s="26">
        <v>125.1</v>
      </c>
      <c r="AC35" s="26">
        <v>114.2</v>
      </c>
      <c r="AD35" s="26">
        <v>119.2</v>
      </c>
      <c r="AE35" s="26">
        <v>127.7</v>
      </c>
      <c r="AF35" s="26">
        <v>1674.6</v>
      </c>
      <c r="AG35" s="26">
        <v>389</v>
      </c>
      <c r="AH35" s="26">
        <v>249.5</v>
      </c>
      <c r="AI35" s="26">
        <v>236.2</v>
      </c>
      <c r="AJ35" s="26">
        <v>239.3</v>
      </c>
      <c r="AK35" s="26">
        <v>3159</v>
      </c>
    </row>
    <row r="36" spans="1:37" x14ac:dyDescent="0.25">
      <c r="A36" t="s">
        <v>31</v>
      </c>
      <c r="B36">
        <v>2015</v>
      </c>
      <c r="C36" t="s">
        <v>46</v>
      </c>
      <c r="D36" s="25">
        <v>42309</v>
      </c>
      <c r="E36" s="26">
        <v>126.1</v>
      </c>
      <c r="F36" s="26">
        <v>130.6</v>
      </c>
      <c r="G36" s="26">
        <v>121.7</v>
      </c>
      <c r="H36" s="26">
        <v>129.5</v>
      </c>
      <c r="I36" s="26">
        <v>117.8</v>
      </c>
      <c r="J36" s="26">
        <v>132.1</v>
      </c>
      <c r="K36" s="26">
        <v>155.19999999999999</v>
      </c>
      <c r="L36" s="26">
        <v>160.80000000000001</v>
      </c>
      <c r="M36" s="26">
        <v>94.5</v>
      </c>
      <c r="N36" s="26">
        <v>128.30000000000001</v>
      </c>
      <c r="O36" s="26">
        <v>123.1</v>
      </c>
      <c r="P36" s="26">
        <v>134.19999999999999</v>
      </c>
      <c r="Q36" s="26">
        <v>132.4</v>
      </c>
      <c r="R36" s="26">
        <v>132.19999999999999</v>
      </c>
      <c r="S36" s="26">
        <v>132.1</v>
      </c>
      <c r="T36" s="26">
        <v>128.19999999999999</v>
      </c>
      <c r="U36" s="26">
        <v>131.5</v>
      </c>
      <c r="V36" s="26" t="s">
        <v>33</v>
      </c>
      <c r="W36" s="26">
        <v>125.6</v>
      </c>
      <c r="X36" s="26">
        <v>125.6</v>
      </c>
      <c r="Y36" s="26">
        <v>122.6</v>
      </c>
      <c r="Z36" s="26">
        <v>114</v>
      </c>
      <c r="AA36" s="26">
        <v>120.9</v>
      </c>
      <c r="AB36" s="26">
        <v>125.8</v>
      </c>
      <c r="AC36" s="26">
        <v>114.2</v>
      </c>
      <c r="AD36" s="26">
        <v>119.6</v>
      </c>
      <c r="AE36" s="26">
        <v>128.30000000000001</v>
      </c>
      <c r="AF36" s="26">
        <v>1686.3</v>
      </c>
      <c r="AG36" s="26">
        <v>391.79999999999995</v>
      </c>
      <c r="AH36" s="26">
        <v>251.2</v>
      </c>
      <c r="AI36" s="26">
        <v>236.8</v>
      </c>
      <c r="AJ36" s="26">
        <v>240.5</v>
      </c>
      <c r="AK36" s="26">
        <v>3178.6000000000004</v>
      </c>
    </row>
    <row r="37" spans="1:37" x14ac:dyDescent="0.25">
      <c r="A37" t="s">
        <v>31</v>
      </c>
      <c r="B37">
        <v>2015</v>
      </c>
      <c r="C37" t="s">
        <v>47</v>
      </c>
      <c r="D37" s="25">
        <v>42339</v>
      </c>
      <c r="E37" s="26">
        <v>126.3</v>
      </c>
      <c r="F37" s="26">
        <v>131.30000000000001</v>
      </c>
      <c r="G37" s="26">
        <v>123.3</v>
      </c>
      <c r="H37" s="26">
        <v>129.80000000000001</v>
      </c>
      <c r="I37" s="26">
        <v>118.3</v>
      </c>
      <c r="J37" s="26">
        <v>131.6</v>
      </c>
      <c r="K37" s="26">
        <v>145.5</v>
      </c>
      <c r="L37" s="26">
        <v>162.1</v>
      </c>
      <c r="M37" s="26">
        <v>95.4</v>
      </c>
      <c r="N37" s="26">
        <v>128.9</v>
      </c>
      <c r="O37" s="26">
        <v>123.3</v>
      </c>
      <c r="P37" s="26">
        <v>135.1</v>
      </c>
      <c r="Q37" s="26">
        <v>131.4</v>
      </c>
      <c r="R37" s="26">
        <v>133.1</v>
      </c>
      <c r="S37" s="26">
        <v>132.5</v>
      </c>
      <c r="T37" s="26">
        <v>128.5</v>
      </c>
      <c r="U37" s="26">
        <v>131.9</v>
      </c>
      <c r="V37" s="26" t="s">
        <v>33</v>
      </c>
      <c r="W37" s="26">
        <v>125.7</v>
      </c>
      <c r="X37" s="26">
        <v>126</v>
      </c>
      <c r="Y37" s="26">
        <v>123.1</v>
      </c>
      <c r="Z37" s="26">
        <v>114</v>
      </c>
      <c r="AA37" s="26">
        <v>121.6</v>
      </c>
      <c r="AB37" s="26">
        <v>125.6</v>
      </c>
      <c r="AC37" s="26">
        <v>114.1</v>
      </c>
      <c r="AD37" s="26">
        <v>119.8</v>
      </c>
      <c r="AE37" s="26">
        <v>127.9</v>
      </c>
      <c r="AF37" s="26">
        <v>1682.3000000000002</v>
      </c>
      <c r="AG37" s="26">
        <v>392.9</v>
      </c>
      <c r="AH37" s="26">
        <v>251.7</v>
      </c>
      <c r="AI37" s="26">
        <v>237.2</v>
      </c>
      <c r="AJ37" s="26">
        <v>241.39999999999998</v>
      </c>
      <c r="AK37" s="26">
        <v>3178.2</v>
      </c>
    </row>
    <row r="38" spans="1:37" x14ac:dyDescent="0.25">
      <c r="A38" t="s">
        <v>31</v>
      </c>
      <c r="B38">
        <v>2016</v>
      </c>
      <c r="C38" t="s">
        <v>32</v>
      </c>
      <c r="D38" s="25">
        <v>42370</v>
      </c>
      <c r="E38" s="26">
        <v>126.8</v>
      </c>
      <c r="F38" s="26">
        <v>133.19999999999999</v>
      </c>
      <c r="G38" s="26">
        <v>126.5</v>
      </c>
      <c r="H38" s="26">
        <v>130.30000000000001</v>
      </c>
      <c r="I38" s="26">
        <v>118.9</v>
      </c>
      <c r="J38" s="26">
        <v>131.6</v>
      </c>
      <c r="K38" s="26">
        <v>140.1</v>
      </c>
      <c r="L38" s="26">
        <v>163.80000000000001</v>
      </c>
      <c r="M38" s="26">
        <v>97.7</v>
      </c>
      <c r="N38" s="26">
        <v>129.6</v>
      </c>
      <c r="O38" s="26">
        <v>124.3</v>
      </c>
      <c r="P38" s="26">
        <v>135.9</v>
      </c>
      <c r="Q38" s="26">
        <v>131.4</v>
      </c>
      <c r="R38" s="26">
        <v>133.6</v>
      </c>
      <c r="S38" s="26">
        <v>133.19999999999999</v>
      </c>
      <c r="T38" s="26">
        <v>128.9</v>
      </c>
      <c r="U38" s="26">
        <v>132.6</v>
      </c>
      <c r="V38" s="26" t="s">
        <v>33</v>
      </c>
      <c r="W38" s="26">
        <v>126.2</v>
      </c>
      <c r="X38" s="26">
        <v>126.6</v>
      </c>
      <c r="Y38" s="26">
        <v>123.7</v>
      </c>
      <c r="Z38" s="26">
        <v>113.6</v>
      </c>
      <c r="AA38" s="26">
        <v>121.4</v>
      </c>
      <c r="AB38" s="26">
        <v>126.2</v>
      </c>
      <c r="AC38" s="26">
        <v>114.9</v>
      </c>
      <c r="AD38" s="26">
        <v>120.1</v>
      </c>
      <c r="AE38" s="26">
        <v>128.1</v>
      </c>
      <c r="AF38" s="26">
        <v>1690.1000000000001</v>
      </c>
      <c r="AG38" s="26">
        <v>394.70000000000005</v>
      </c>
      <c r="AH38" s="26">
        <v>252.8</v>
      </c>
      <c r="AI38" s="26">
        <v>238.60000000000002</v>
      </c>
      <c r="AJ38" s="26">
        <v>241.5</v>
      </c>
      <c r="AK38" s="26">
        <v>3191.1</v>
      </c>
    </row>
    <row r="39" spans="1:37" x14ac:dyDescent="0.25">
      <c r="A39" t="s">
        <v>31</v>
      </c>
      <c r="B39">
        <v>2016</v>
      </c>
      <c r="C39" t="s">
        <v>36</v>
      </c>
      <c r="D39" s="25">
        <v>42401</v>
      </c>
      <c r="E39" s="26">
        <v>127.1</v>
      </c>
      <c r="F39" s="26">
        <v>133.69999999999999</v>
      </c>
      <c r="G39" s="26">
        <v>127.7</v>
      </c>
      <c r="H39" s="26">
        <v>130.69999999999999</v>
      </c>
      <c r="I39" s="26">
        <v>118.5</v>
      </c>
      <c r="J39" s="26">
        <v>130.4</v>
      </c>
      <c r="K39" s="26">
        <v>130.9</v>
      </c>
      <c r="L39" s="26">
        <v>162.80000000000001</v>
      </c>
      <c r="M39" s="26">
        <v>98.7</v>
      </c>
      <c r="N39" s="26">
        <v>130.6</v>
      </c>
      <c r="O39" s="26">
        <v>124.8</v>
      </c>
      <c r="P39" s="26">
        <v>136.4</v>
      </c>
      <c r="Q39" s="26">
        <v>130.30000000000001</v>
      </c>
      <c r="R39" s="26">
        <v>134.4</v>
      </c>
      <c r="S39" s="26">
        <v>133.9</v>
      </c>
      <c r="T39" s="26">
        <v>129.80000000000001</v>
      </c>
      <c r="U39" s="26">
        <v>133.4</v>
      </c>
      <c r="V39" s="26" t="s">
        <v>33</v>
      </c>
      <c r="W39" s="26">
        <v>127.5</v>
      </c>
      <c r="X39" s="26">
        <v>127.1</v>
      </c>
      <c r="Y39" s="26">
        <v>124.3</v>
      </c>
      <c r="Z39" s="26">
        <v>113.9</v>
      </c>
      <c r="AA39" s="26">
        <v>122.3</v>
      </c>
      <c r="AB39" s="26">
        <v>127.1</v>
      </c>
      <c r="AC39" s="26">
        <v>116.8</v>
      </c>
      <c r="AD39" s="26">
        <v>120.9</v>
      </c>
      <c r="AE39" s="26">
        <v>127.9</v>
      </c>
      <c r="AF39" s="26">
        <v>1682.6</v>
      </c>
      <c r="AG39" s="26">
        <v>397.1</v>
      </c>
      <c r="AH39" s="26">
        <v>254.6</v>
      </c>
      <c r="AI39" s="26">
        <v>241.1</v>
      </c>
      <c r="AJ39" s="26">
        <v>243.2</v>
      </c>
      <c r="AK39" s="26">
        <v>3193.9999999999995</v>
      </c>
    </row>
    <row r="40" spans="1:37" x14ac:dyDescent="0.25">
      <c r="A40" t="s">
        <v>31</v>
      </c>
      <c r="B40">
        <v>2016</v>
      </c>
      <c r="C40" t="s">
        <v>37</v>
      </c>
      <c r="D40" s="25">
        <v>42430</v>
      </c>
      <c r="E40" s="26">
        <v>127.3</v>
      </c>
      <c r="F40" s="26">
        <v>134.4</v>
      </c>
      <c r="G40" s="26">
        <v>125.1</v>
      </c>
      <c r="H40" s="26">
        <v>130.5</v>
      </c>
      <c r="I40" s="26">
        <v>118.3</v>
      </c>
      <c r="J40" s="26">
        <v>131.69999999999999</v>
      </c>
      <c r="K40" s="26">
        <v>130.69999999999999</v>
      </c>
      <c r="L40" s="26">
        <v>161.19999999999999</v>
      </c>
      <c r="M40" s="26">
        <v>100.4</v>
      </c>
      <c r="N40" s="26">
        <v>130.80000000000001</v>
      </c>
      <c r="O40" s="26">
        <v>124.9</v>
      </c>
      <c r="P40" s="26">
        <v>137</v>
      </c>
      <c r="Q40" s="26">
        <v>130.4</v>
      </c>
      <c r="R40" s="26">
        <v>135</v>
      </c>
      <c r="S40" s="26">
        <v>134.4</v>
      </c>
      <c r="T40" s="26">
        <v>130.19999999999999</v>
      </c>
      <c r="U40" s="26">
        <v>133.80000000000001</v>
      </c>
      <c r="V40" s="26" t="s">
        <v>33</v>
      </c>
      <c r="W40" s="26">
        <v>127</v>
      </c>
      <c r="X40" s="26">
        <v>127.7</v>
      </c>
      <c r="Y40" s="26">
        <v>124.8</v>
      </c>
      <c r="Z40" s="26">
        <v>113.6</v>
      </c>
      <c r="AA40" s="26">
        <v>122.5</v>
      </c>
      <c r="AB40" s="26">
        <v>127.5</v>
      </c>
      <c r="AC40" s="26">
        <v>117.4</v>
      </c>
      <c r="AD40" s="26">
        <v>121.1</v>
      </c>
      <c r="AE40" s="26">
        <v>128</v>
      </c>
      <c r="AF40" s="26">
        <v>1682.7000000000003</v>
      </c>
      <c r="AG40" s="26">
        <v>398.40000000000003</v>
      </c>
      <c r="AH40" s="26">
        <v>254.7</v>
      </c>
      <c r="AI40" s="26">
        <v>242.2</v>
      </c>
      <c r="AJ40" s="26">
        <v>243.6</v>
      </c>
      <c r="AK40" s="26">
        <v>3197.7</v>
      </c>
    </row>
    <row r="41" spans="1:37" x14ac:dyDescent="0.25">
      <c r="A41" t="s">
        <v>31</v>
      </c>
      <c r="B41">
        <v>2016</v>
      </c>
      <c r="C41" t="s">
        <v>38</v>
      </c>
      <c r="D41" s="25">
        <v>42461</v>
      </c>
      <c r="E41" s="26">
        <v>127.4</v>
      </c>
      <c r="F41" s="26">
        <v>135.4</v>
      </c>
      <c r="G41" s="26">
        <v>123.4</v>
      </c>
      <c r="H41" s="26">
        <v>131.30000000000001</v>
      </c>
      <c r="I41" s="26">
        <v>118.2</v>
      </c>
      <c r="J41" s="26">
        <v>138.1</v>
      </c>
      <c r="K41" s="26">
        <v>134.1</v>
      </c>
      <c r="L41" s="26">
        <v>162.69999999999999</v>
      </c>
      <c r="M41" s="26">
        <v>105</v>
      </c>
      <c r="N41" s="26">
        <v>131.4</v>
      </c>
      <c r="O41" s="26">
        <v>125.4</v>
      </c>
      <c r="P41" s="26">
        <v>137.4</v>
      </c>
      <c r="Q41" s="26">
        <v>131.80000000000001</v>
      </c>
      <c r="R41" s="26">
        <v>135.5</v>
      </c>
      <c r="S41" s="26">
        <v>135</v>
      </c>
      <c r="T41" s="26">
        <v>130.6</v>
      </c>
      <c r="U41" s="26">
        <v>134.4</v>
      </c>
      <c r="V41" s="26" t="s">
        <v>33</v>
      </c>
      <c r="W41" s="26">
        <v>127</v>
      </c>
      <c r="X41" s="26">
        <v>128</v>
      </c>
      <c r="Y41" s="26">
        <v>125.2</v>
      </c>
      <c r="Z41" s="26">
        <v>114.4</v>
      </c>
      <c r="AA41" s="26">
        <v>123.2</v>
      </c>
      <c r="AB41" s="26">
        <v>127.9</v>
      </c>
      <c r="AC41" s="26">
        <v>118.4</v>
      </c>
      <c r="AD41" s="26">
        <v>121.7</v>
      </c>
      <c r="AE41" s="26">
        <v>129</v>
      </c>
      <c r="AF41" s="26">
        <v>1701.6000000000004</v>
      </c>
      <c r="AG41" s="26">
        <v>400</v>
      </c>
      <c r="AH41" s="26">
        <v>255</v>
      </c>
      <c r="AI41" s="26">
        <v>243.60000000000002</v>
      </c>
      <c r="AJ41" s="26">
        <v>244.9</v>
      </c>
      <c r="AK41" s="26">
        <v>3222.9000000000005</v>
      </c>
    </row>
    <row r="42" spans="1:37" x14ac:dyDescent="0.25">
      <c r="A42" t="s">
        <v>31</v>
      </c>
      <c r="B42">
        <v>2016</v>
      </c>
      <c r="C42" t="s">
        <v>39</v>
      </c>
      <c r="D42" s="25">
        <v>42491</v>
      </c>
      <c r="E42" s="26">
        <v>127.6</v>
      </c>
      <c r="F42" s="26">
        <v>137.5</v>
      </c>
      <c r="G42" s="26">
        <v>124.4</v>
      </c>
      <c r="H42" s="26">
        <v>132.4</v>
      </c>
      <c r="I42" s="26">
        <v>118.2</v>
      </c>
      <c r="J42" s="26">
        <v>138.1</v>
      </c>
      <c r="K42" s="26">
        <v>141.80000000000001</v>
      </c>
      <c r="L42" s="26">
        <v>166</v>
      </c>
      <c r="M42" s="26">
        <v>107.5</v>
      </c>
      <c r="N42" s="26">
        <v>132.19999999999999</v>
      </c>
      <c r="O42" s="26">
        <v>126.1</v>
      </c>
      <c r="P42" s="26">
        <v>138.30000000000001</v>
      </c>
      <c r="Q42" s="26">
        <v>133.6</v>
      </c>
      <c r="R42" s="26">
        <v>136</v>
      </c>
      <c r="S42" s="26">
        <v>135.4</v>
      </c>
      <c r="T42" s="26">
        <v>131.1</v>
      </c>
      <c r="U42" s="26">
        <v>134.80000000000001</v>
      </c>
      <c r="V42" s="26" t="s">
        <v>33</v>
      </c>
      <c r="W42" s="26">
        <v>127.4</v>
      </c>
      <c r="X42" s="26">
        <v>128.5</v>
      </c>
      <c r="Y42" s="26">
        <v>125.8</v>
      </c>
      <c r="Z42" s="26">
        <v>115.1</v>
      </c>
      <c r="AA42" s="26">
        <v>123.6</v>
      </c>
      <c r="AB42" s="26">
        <v>129.1</v>
      </c>
      <c r="AC42" s="26">
        <v>119.7</v>
      </c>
      <c r="AD42" s="26">
        <v>122.5</v>
      </c>
      <c r="AE42" s="26">
        <v>130.30000000000001</v>
      </c>
      <c r="AF42" s="26">
        <v>1723.6999999999998</v>
      </c>
      <c r="AG42" s="26">
        <v>401.3</v>
      </c>
      <c r="AH42" s="26">
        <v>255.9</v>
      </c>
      <c r="AI42" s="26">
        <v>245.5</v>
      </c>
      <c r="AJ42" s="26">
        <v>246.1</v>
      </c>
      <c r="AK42" s="26">
        <v>3252.7</v>
      </c>
    </row>
    <row r="43" spans="1:37" x14ac:dyDescent="0.25">
      <c r="A43" t="s">
        <v>31</v>
      </c>
      <c r="B43">
        <v>2016</v>
      </c>
      <c r="C43" t="s">
        <v>40</v>
      </c>
      <c r="D43" s="25">
        <v>42522</v>
      </c>
      <c r="E43" s="26">
        <v>128.6</v>
      </c>
      <c r="F43" s="26">
        <v>138.6</v>
      </c>
      <c r="G43" s="26">
        <v>126.6</v>
      </c>
      <c r="H43" s="26">
        <v>133.6</v>
      </c>
      <c r="I43" s="26">
        <v>118.6</v>
      </c>
      <c r="J43" s="26">
        <v>137.4</v>
      </c>
      <c r="K43" s="26">
        <v>152.5</v>
      </c>
      <c r="L43" s="26">
        <v>169.2</v>
      </c>
      <c r="M43" s="26">
        <v>108.8</v>
      </c>
      <c r="N43" s="26">
        <v>133.1</v>
      </c>
      <c r="O43" s="26">
        <v>126.4</v>
      </c>
      <c r="P43" s="26">
        <v>139.19999999999999</v>
      </c>
      <c r="Q43" s="26">
        <v>136</v>
      </c>
      <c r="R43" s="26">
        <v>137.19999999999999</v>
      </c>
      <c r="S43" s="26">
        <v>136.30000000000001</v>
      </c>
      <c r="T43" s="26">
        <v>131.6</v>
      </c>
      <c r="U43" s="26">
        <v>135.6</v>
      </c>
      <c r="V43" s="26" t="s">
        <v>33</v>
      </c>
      <c r="W43" s="26">
        <v>128</v>
      </c>
      <c r="X43" s="26">
        <v>129.30000000000001</v>
      </c>
      <c r="Y43" s="26">
        <v>126.2</v>
      </c>
      <c r="Z43" s="26">
        <v>116.3</v>
      </c>
      <c r="AA43" s="26">
        <v>124.1</v>
      </c>
      <c r="AB43" s="26">
        <v>130.19999999999999</v>
      </c>
      <c r="AC43" s="26">
        <v>119.9</v>
      </c>
      <c r="AD43" s="26">
        <v>123.3</v>
      </c>
      <c r="AE43" s="26">
        <v>131.9</v>
      </c>
      <c r="AF43" s="26">
        <v>1748.6</v>
      </c>
      <c r="AG43" s="26">
        <v>403.5</v>
      </c>
      <c r="AH43" s="26">
        <v>257.3</v>
      </c>
      <c r="AI43" s="26">
        <v>246.10000000000002</v>
      </c>
      <c r="AJ43" s="26">
        <v>247.39999999999998</v>
      </c>
      <c r="AK43" s="26">
        <v>3286.6</v>
      </c>
    </row>
    <row r="44" spans="1:37" x14ac:dyDescent="0.25">
      <c r="A44" t="s">
        <v>31</v>
      </c>
      <c r="B44">
        <v>2016</v>
      </c>
      <c r="C44" t="s">
        <v>41</v>
      </c>
      <c r="D44" s="25">
        <v>42552</v>
      </c>
      <c r="E44" s="26">
        <v>129.30000000000001</v>
      </c>
      <c r="F44" s="26">
        <v>139.5</v>
      </c>
      <c r="G44" s="26">
        <v>129.6</v>
      </c>
      <c r="H44" s="26">
        <v>134.5</v>
      </c>
      <c r="I44" s="26">
        <v>119.5</v>
      </c>
      <c r="J44" s="26">
        <v>138.5</v>
      </c>
      <c r="K44" s="26">
        <v>158.19999999999999</v>
      </c>
      <c r="L44" s="26">
        <v>171.8</v>
      </c>
      <c r="M44" s="26">
        <v>110.3</v>
      </c>
      <c r="N44" s="26">
        <v>134.30000000000001</v>
      </c>
      <c r="O44" s="26">
        <v>127.3</v>
      </c>
      <c r="P44" s="26">
        <v>139.9</v>
      </c>
      <c r="Q44" s="26">
        <v>137.6</v>
      </c>
      <c r="R44" s="26">
        <v>138</v>
      </c>
      <c r="S44" s="26">
        <v>137.19999999999999</v>
      </c>
      <c r="T44" s="26">
        <v>132.19999999999999</v>
      </c>
      <c r="U44" s="26">
        <v>136.5</v>
      </c>
      <c r="V44" s="26" t="s">
        <v>33</v>
      </c>
      <c r="W44" s="26">
        <v>128.19999999999999</v>
      </c>
      <c r="X44" s="26">
        <v>130</v>
      </c>
      <c r="Y44" s="26">
        <v>126.7</v>
      </c>
      <c r="Z44" s="26">
        <v>116.4</v>
      </c>
      <c r="AA44" s="26">
        <v>125.2</v>
      </c>
      <c r="AB44" s="26">
        <v>130.80000000000001</v>
      </c>
      <c r="AC44" s="26">
        <v>120.9</v>
      </c>
      <c r="AD44" s="26">
        <v>123.8</v>
      </c>
      <c r="AE44" s="26">
        <v>133</v>
      </c>
      <c r="AF44" s="26">
        <v>1770.2999999999997</v>
      </c>
      <c r="AG44" s="26">
        <v>405.9</v>
      </c>
      <c r="AH44" s="26">
        <v>258.2</v>
      </c>
      <c r="AI44" s="26">
        <v>247.60000000000002</v>
      </c>
      <c r="AJ44" s="26">
        <v>249</v>
      </c>
      <c r="AK44" s="26">
        <v>3316.2</v>
      </c>
    </row>
    <row r="45" spans="1:37" x14ac:dyDescent="0.25">
      <c r="A45" t="s">
        <v>31</v>
      </c>
      <c r="B45">
        <v>2016</v>
      </c>
      <c r="C45" t="s">
        <v>42</v>
      </c>
      <c r="D45" s="25">
        <v>42583</v>
      </c>
      <c r="E45" s="26">
        <v>130.1</v>
      </c>
      <c r="F45" s="26">
        <v>138.80000000000001</v>
      </c>
      <c r="G45" s="26">
        <v>130.30000000000001</v>
      </c>
      <c r="H45" s="26">
        <v>135.30000000000001</v>
      </c>
      <c r="I45" s="26">
        <v>119.9</v>
      </c>
      <c r="J45" s="26">
        <v>140.19999999999999</v>
      </c>
      <c r="K45" s="26">
        <v>156.9</v>
      </c>
      <c r="L45" s="26">
        <v>172.2</v>
      </c>
      <c r="M45" s="26">
        <v>112.1</v>
      </c>
      <c r="N45" s="26">
        <v>134.9</v>
      </c>
      <c r="O45" s="26">
        <v>128.1</v>
      </c>
      <c r="P45" s="26">
        <v>140.69999999999999</v>
      </c>
      <c r="Q45" s="26">
        <v>138</v>
      </c>
      <c r="R45" s="26">
        <v>138.9</v>
      </c>
      <c r="S45" s="26">
        <v>137.80000000000001</v>
      </c>
      <c r="T45" s="26">
        <v>133</v>
      </c>
      <c r="U45" s="26">
        <v>137.1</v>
      </c>
      <c r="V45" s="26" t="s">
        <v>33</v>
      </c>
      <c r="W45" s="26">
        <v>129.1</v>
      </c>
      <c r="X45" s="26">
        <v>130.6</v>
      </c>
      <c r="Y45" s="26">
        <v>127</v>
      </c>
      <c r="Z45" s="26">
        <v>116</v>
      </c>
      <c r="AA45" s="26">
        <v>125.5</v>
      </c>
      <c r="AB45" s="26">
        <v>131.9</v>
      </c>
      <c r="AC45" s="26">
        <v>122</v>
      </c>
      <c r="AD45" s="26">
        <v>124.2</v>
      </c>
      <c r="AE45" s="26">
        <v>133.5</v>
      </c>
      <c r="AF45" s="26">
        <v>1777.4999999999998</v>
      </c>
      <c r="AG45" s="26">
        <v>407.9</v>
      </c>
      <c r="AH45" s="26">
        <v>259.7</v>
      </c>
      <c r="AI45" s="26">
        <v>249</v>
      </c>
      <c r="AJ45" s="26">
        <v>249.7</v>
      </c>
      <c r="AK45" s="26">
        <v>3330.5999999999995</v>
      </c>
    </row>
    <row r="46" spans="1:37" x14ac:dyDescent="0.25">
      <c r="A46" t="s">
        <v>31</v>
      </c>
      <c r="B46">
        <v>2016</v>
      </c>
      <c r="C46" t="s">
        <v>43</v>
      </c>
      <c r="D46" s="25">
        <v>42614</v>
      </c>
      <c r="E46" s="26">
        <v>130.80000000000001</v>
      </c>
      <c r="F46" s="26">
        <v>138.19999999999999</v>
      </c>
      <c r="G46" s="26">
        <v>130.5</v>
      </c>
      <c r="H46" s="26">
        <v>135.5</v>
      </c>
      <c r="I46" s="26">
        <v>120.2</v>
      </c>
      <c r="J46" s="26">
        <v>139.19999999999999</v>
      </c>
      <c r="K46" s="26">
        <v>149.5</v>
      </c>
      <c r="L46" s="26">
        <v>170.4</v>
      </c>
      <c r="M46" s="26">
        <v>113.1</v>
      </c>
      <c r="N46" s="26">
        <v>135.80000000000001</v>
      </c>
      <c r="O46" s="26">
        <v>128.80000000000001</v>
      </c>
      <c r="P46" s="26">
        <v>141.5</v>
      </c>
      <c r="Q46" s="26">
        <v>137.19999999999999</v>
      </c>
      <c r="R46" s="26">
        <v>139.9</v>
      </c>
      <c r="S46" s="26">
        <v>138.5</v>
      </c>
      <c r="T46" s="26">
        <v>133.5</v>
      </c>
      <c r="U46" s="26">
        <v>137.80000000000001</v>
      </c>
      <c r="V46" s="26" t="s">
        <v>33</v>
      </c>
      <c r="W46" s="26">
        <v>129.69999999999999</v>
      </c>
      <c r="X46" s="26">
        <v>131.1</v>
      </c>
      <c r="Y46" s="26">
        <v>127.8</v>
      </c>
      <c r="Z46" s="26">
        <v>117</v>
      </c>
      <c r="AA46" s="26">
        <v>125.7</v>
      </c>
      <c r="AB46" s="26">
        <v>132.19999999999999</v>
      </c>
      <c r="AC46" s="26">
        <v>122.8</v>
      </c>
      <c r="AD46" s="26">
        <v>124.9</v>
      </c>
      <c r="AE46" s="26">
        <v>133.4</v>
      </c>
      <c r="AF46" s="26">
        <v>1770.7</v>
      </c>
      <c r="AG46" s="26">
        <v>409.8</v>
      </c>
      <c r="AH46" s="26">
        <v>260.79999999999995</v>
      </c>
      <c r="AI46" s="26">
        <v>250.6</v>
      </c>
      <c r="AJ46" s="26">
        <v>250.60000000000002</v>
      </c>
      <c r="AK46" s="26">
        <v>3331.6000000000004</v>
      </c>
    </row>
    <row r="47" spans="1:37" x14ac:dyDescent="0.25">
      <c r="A47" t="s">
        <v>31</v>
      </c>
      <c r="B47">
        <v>2016</v>
      </c>
      <c r="C47" t="s">
        <v>44</v>
      </c>
      <c r="D47" s="25">
        <v>42644</v>
      </c>
      <c r="E47" s="26">
        <v>131.30000000000001</v>
      </c>
      <c r="F47" s="26">
        <v>137.6</v>
      </c>
      <c r="G47" s="26">
        <v>130.1</v>
      </c>
      <c r="H47" s="26">
        <v>136</v>
      </c>
      <c r="I47" s="26">
        <v>120.8</v>
      </c>
      <c r="J47" s="26">
        <v>138.4</v>
      </c>
      <c r="K47" s="26">
        <v>149.19999999999999</v>
      </c>
      <c r="L47" s="26">
        <v>170.2</v>
      </c>
      <c r="M47" s="26">
        <v>113.4</v>
      </c>
      <c r="N47" s="26">
        <v>136.30000000000001</v>
      </c>
      <c r="O47" s="26">
        <v>128.69999999999999</v>
      </c>
      <c r="P47" s="26">
        <v>142.4</v>
      </c>
      <c r="Q47" s="26">
        <v>137.4</v>
      </c>
      <c r="R47" s="26">
        <v>140.9</v>
      </c>
      <c r="S47" s="26">
        <v>139.6</v>
      </c>
      <c r="T47" s="26">
        <v>134.30000000000001</v>
      </c>
      <c r="U47" s="26">
        <v>138.80000000000001</v>
      </c>
      <c r="V47" s="26" t="s">
        <v>33</v>
      </c>
      <c r="W47" s="26">
        <v>129.80000000000001</v>
      </c>
      <c r="X47" s="26">
        <v>131.80000000000001</v>
      </c>
      <c r="Y47" s="26">
        <v>128.69999999999999</v>
      </c>
      <c r="Z47" s="26">
        <v>117.8</v>
      </c>
      <c r="AA47" s="26">
        <v>126.5</v>
      </c>
      <c r="AB47" s="26">
        <v>133</v>
      </c>
      <c r="AC47" s="26">
        <v>123</v>
      </c>
      <c r="AD47" s="26">
        <v>125.7</v>
      </c>
      <c r="AE47" s="26">
        <v>133.80000000000001</v>
      </c>
      <c r="AF47" s="26">
        <v>1771.8000000000002</v>
      </c>
      <c r="AG47" s="26">
        <v>412.7</v>
      </c>
      <c r="AH47" s="26">
        <v>261.60000000000002</v>
      </c>
      <c r="AI47" s="26">
        <v>251.7</v>
      </c>
      <c r="AJ47" s="26">
        <v>252.2</v>
      </c>
      <c r="AK47" s="26">
        <v>3341.6999999999994</v>
      </c>
    </row>
    <row r="48" spans="1:37" x14ac:dyDescent="0.25">
      <c r="A48" t="s">
        <v>31</v>
      </c>
      <c r="B48">
        <v>2016</v>
      </c>
      <c r="C48" t="s">
        <v>46</v>
      </c>
      <c r="D48" s="25">
        <v>42675</v>
      </c>
      <c r="E48" s="26">
        <v>132</v>
      </c>
      <c r="F48" s="26">
        <v>137.4</v>
      </c>
      <c r="G48" s="26">
        <v>130.6</v>
      </c>
      <c r="H48" s="26">
        <v>136.19999999999999</v>
      </c>
      <c r="I48" s="26">
        <v>121.1</v>
      </c>
      <c r="J48" s="26">
        <v>136.9</v>
      </c>
      <c r="K48" s="26">
        <v>141.80000000000001</v>
      </c>
      <c r="L48" s="26">
        <v>170</v>
      </c>
      <c r="M48" s="26">
        <v>113.4</v>
      </c>
      <c r="N48" s="26">
        <v>136.80000000000001</v>
      </c>
      <c r="O48" s="26">
        <v>128.69999999999999</v>
      </c>
      <c r="P48" s="26">
        <v>143.1</v>
      </c>
      <c r="Q48" s="26">
        <v>136.6</v>
      </c>
      <c r="R48" s="26">
        <v>141.19999999999999</v>
      </c>
      <c r="S48" s="26">
        <v>139.9</v>
      </c>
      <c r="T48" s="26">
        <v>134.5</v>
      </c>
      <c r="U48" s="26">
        <v>139.19999999999999</v>
      </c>
      <c r="V48" s="26" t="s">
        <v>33</v>
      </c>
      <c r="W48" s="26">
        <v>130.30000000000001</v>
      </c>
      <c r="X48" s="26">
        <v>132.1</v>
      </c>
      <c r="Y48" s="26">
        <v>129.1</v>
      </c>
      <c r="Z48" s="26">
        <v>118.2</v>
      </c>
      <c r="AA48" s="26">
        <v>126.9</v>
      </c>
      <c r="AB48" s="26">
        <v>133.69999999999999</v>
      </c>
      <c r="AC48" s="26">
        <v>123.5</v>
      </c>
      <c r="AD48" s="26">
        <v>126.1</v>
      </c>
      <c r="AE48" s="26">
        <v>133.6</v>
      </c>
      <c r="AF48" s="26">
        <v>1764.6</v>
      </c>
      <c r="AG48" s="26">
        <v>413.59999999999997</v>
      </c>
      <c r="AH48" s="26">
        <v>262.39999999999998</v>
      </c>
      <c r="AI48" s="26">
        <v>252.6</v>
      </c>
      <c r="AJ48" s="26">
        <v>253</v>
      </c>
      <c r="AK48" s="26">
        <v>3339.2999999999997</v>
      </c>
    </row>
    <row r="49" spans="1:37" x14ac:dyDescent="0.25">
      <c r="A49" t="s">
        <v>31</v>
      </c>
      <c r="B49">
        <v>2016</v>
      </c>
      <c r="C49" t="s">
        <v>47</v>
      </c>
      <c r="D49" s="25">
        <v>42705</v>
      </c>
      <c r="E49" s="26">
        <v>132.6</v>
      </c>
      <c r="F49" s="26">
        <v>137.30000000000001</v>
      </c>
      <c r="G49" s="26">
        <v>131.6</v>
      </c>
      <c r="H49" s="26">
        <v>136.30000000000001</v>
      </c>
      <c r="I49" s="26">
        <v>121.6</v>
      </c>
      <c r="J49" s="26">
        <v>135.6</v>
      </c>
      <c r="K49" s="26">
        <v>127.5</v>
      </c>
      <c r="L49" s="26">
        <v>167.9</v>
      </c>
      <c r="M49" s="26">
        <v>113.8</v>
      </c>
      <c r="N49" s="26">
        <v>137.5</v>
      </c>
      <c r="O49" s="26">
        <v>129.1</v>
      </c>
      <c r="P49" s="26">
        <v>143.6</v>
      </c>
      <c r="Q49" s="26">
        <v>134.69999999999999</v>
      </c>
      <c r="R49" s="26">
        <v>142.4</v>
      </c>
      <c r="S49" s="26">
        <v>140.4</v>
      </c>
      <c r="T49" s="26">
        <v>135.19999999999999</v>
      </c>
      <c r="U49" s="26">
        <v>139.69999999999999</v>
      </c>
      <c r="V49" s="26" t="s">
        <v>33</v>
      </c>
      <c r="W49" s="26">
        <v>132</v>
      </c>
      <c r="X49" s="26">
        <v>132.9</v>
      </c>
      <c r="Y49" s="26">
        <v>129.69999999999999</v>
      </c>
      <c r="Z49" s="26">
        <v>118.6</v>
      </c>
      <c r="AA49" s="26">
        <v>127.3</v>
      </c>
      <c r="AB49" s="26">
        <v>134.19999999999999</v>
      </c>
      <c r="AC49" s="26">
        <v>121.9</v>
      </c>
      <c r="AD49" s="26">
        <v>126.3</v>
      </c>
      <c r="AE49" s="26">
        <v>132.80000000000001</v>
      </c>
      <c r="AF49" s="26">
        <v>1749.1</v>
      </c>
      <c r="AG49" s="26">
        <v>415.3</v>
      </c>
      <c r="AH49" s="26">
        <v>264.89999999999998</v>
      </c>
      <c r="AI49" s="26">
        <v>251.6</v>
      </c>
      <c r="AJ49" s="26">
        <v>253.6</v>
      </c>
      <c r="AK49" s="26">
        <v>3329.7</v>
      </c>
    </row>
    <row r="50" spans="1:37" x14ac:dyDescent="0.25">
      <c r="A50" t="s">
        <v>31</v>
      </c>
      <c r="B50">
        <v>2017</v>
      </c>
      <c r="C50" t="s">
        <v>32</v>
      </c>
      <c r="D50" s="25">
        <v>42736</v>
      </c>
      <c r="E50" s="26">
        <v>133.1</v>
      </c>
      <c r="F50" s="26">
        <v>137.80000000000001</v>
      </c>
      <c r="G50" s="26">
        <v>131.9</v>
      </c>
      <c r="H50" s="26">
        <v>136.69999999999999</v>
      </c>
      <c r="I50" s="26">
        <v>122</v>
      </c>
      <c r="J50" s="26">
        <v>136</v>
      </c>
      <c r="K50" s="26">
        <v>119.8</v>
      </c>
      <c r="L50" s="26">
        <v>161.69999999999999</v>
      </c>
      <c r="M50" s="26">
        <v>114.8</v>
      </c>
      <c r="N50" s="26">
        <v>136.9</v>
      </c>
      <c r="O50" s="26">
        <v>129</v>
      </c>
      <c r="P50" s="26">
        <v>143.9</v>
      </c>
      <c r="Q50" s="26">
        <v>133.69999999999999</v>
      </c>
      <c r="R50" s="26">
        <v>143.1</v>
      </c>
      <c r="S50" s="26">
        <v>140.69999999999999</v>
      </c>
      <c r="T50" s="26">
        <v>135.80000000000001</v>
      </c>
      <c r="U50" s="26">
        <v>140</v>
      </c>
      <c r="V50" s="26" t="s">
        <v>33</v>
      </c>
      <c r="W50" s="26">
        <v>132.1</v>
      </c>
      <c r="X50" s="26">
        <v>133.19999999999999</v>
      </c>
      <c r="Y50" s="26">
        <v>129.9</v>
      </c>
      <c r="Z50" s="26">
        <v>119.1</v>
      </c>
      <c r="AA50" s="26">
        <v>127</v>
      </c>
      <c r="AB50" s="26">
        <v>134.6</v>
      </c>
      <c r="AC50" s="26">
        <v>122.3</v>
      </c>
      <c r="AD50" s="26">
        <v>126.6</v>
      </c>
      <c r="AE50" s="26">
        <v>132.4</v>
      </c>
      <c r="AF50" s="26">
        <v>1737.3000000000002</v>
      </c>
      <c r="AG50" s="26">
        <v>416.5</v>
      </c>
      <c r="AH50" s="26">
        <v>265.29999999999995</v>
      </c>
      <c r="AI50" s="26">
        <v>252.2</v>
      </c>
      <c r="AJ50" s="26">
        <v>253.6</v>
      </c>
      <c r="AK50" s="26">
        <v>3321.7000000000003</v>
      </c>
    </row>
    <row r="51" spans="1:37" x14ac:dyDescent="0.25">
      <c r="A51" t="s">
        <v>31</v>
      </c>
      <c r="B51">
        <v>2017</v>
      </c>
      <c r="C51" t="s">
        <v>36</v>
      </c>
      <c r="D51" s="25">
        <v>42767</v>
      </c>
      <c r="E51" s="26">
        <v>133.30000000000001</v>
      </c>
      <c r="F51" s="26">
        <v>138.30000000000001</v>
      </c>
      <c r="G51" s="26">
        <v>129.30000000000001</v>
      </c>
      <c r="H51" s="26">
        <v>137.19999999999999</v>
      </c>
      <c r="I51" s="26">
        <v>122.1</v>
      </c>
      <c r="J51" s="26">
        <v>138.69999999999999</v>
      </c>
      <c r="K51" s="26">
        <v>119.1</v>
      </c>
      <c r="L51" s="26">
        <v>156.9</v>
      </c>
      <c r="M51" s="26">
        <v>116.2</v>
      </c>
      <c r="N51" s="26">
        <v>136</v>
      </c>
      <c r="O51" s="26">
        <v>129.4</v>
      </c>
      <c r="P51" s="26">
        <v>144.4</v>
      </c>
      <c r="Q51" s="26">
        <v>133.6</v>
      </c>
      <c r="R51" s="26">
        <v>143.69999999999999</v>
      </c>
      <c r="S51" s="26">
        <v>140.9</v>
      </c>
      <c r="T51" s="26">
        <v>135.80000000000001</v>
      </c>
      <c r="U51" s="26">
        <v>140.19999999999999</v>
      </c>
      <c r="V51" s="26" t="s">
        <v>33</v>
      </c>
      <c r="W51" s="26">
        <v>133.19999999999999</v>
      </c>
      <c r="X51" s="26">
        <v>133.6</v>
      </c>
      <c r="Y51" s="26">
        <v>130.1</v>
      </c>
      <c r="Z51" s="26">
        <v>119.5</v>
      </c>
      <c r="AA51" s="26">
        <v>127.7</v>
      </c>
      <c r="AB51" s="26">
        <v>134.9</v>
      </c>
      <c r="AC51" s="26">
        <v>123.2</v>
      </c>
      <c r="AD51" s="26">
        <v>127</v>
      </c>
      <c r="AE51" s="26">
        <v>132.6</v>
      </c>
      <c r="AF51" s="26">
        <v>1734.5000000000002</v>
      </c>
      <c r="AG51" s="26">
        <v>416.90000000000003</v>
      </c>
      <c r="AH51" s="26">
        <v>266.79999999999995</v>
      </c>
      <c r="AI51" s="26">
        <v>253.3</v>
      </c>
      <c r="AJ51" s="26">
        <v>254.7</v>
      </c>
      <c r="AK51" s="26">
        <v>3324.3</v>
      </c>
    </row>
    <row r="52" spans="1:37" x14ac:dyDescent="0.25">
      <c r="A52" t="s">
        <v>31</v>
      </c>
      <c r="B52">
        <v>2017</v>
      </c>
      <c r="C52" t="s">
        <v>37</v>
      </c>
      <c r="D52" s="25">
        <v>42795</v>
      </c>
      <c r="E52" s="26">
        <v>133.6</v>
      </c>
      <c r="F52" s="26">
        <v>138.80000000000001</v>
      </c>
      <c r="G52" s="26">
        <v>128.80000000000001</v>
      </c>
      <c r="H52" s="26">
        <v>137.19999999999999</v>
      </c>
      <c r="I52" s="26">
        <v>121.6</v>
      </c>
      <c r="J52" s="26">
        <v>139.69999999999999</v>
      </c>
      <c r="K52" s="26">
        <v>119.7</v>
      </c>
      <c r="L52" s="26">
        <v>148</v>
      </c>
      <c r="M52" s="26">
        <v>116.9</v>
      </c>
      <c r="N52" s="26">
        <v>135.6</v>
      </c>
      <c r="O52" s="26">
        <v>129.80000000000001</v>
      </c>
      <c r="P52" s="26">
        <v>145.4</v>
      </c>
      <c r="Q52" s="26">
        <v>133.4</v>
      </c>
      <c r="R52" s="26">
        <v>144.19999999999999</v>
      </c>
      <c r="S52" s="26">
        <v>141.6</v>
      </c>
      <c r="T52" s="26">
        <v>136.19999999999999</v>
      </c>
      <c r="U52" s="26">
        <v>140.80000000000001</v>
      </c>
      <c r="V52" s="26" t="s">
        <v>33</v>
      </c>
      <c r="W52" s="26">
        <v>134.19999999999999</v>
      </c>
      <c r="X52" s="26">
        <v>134.1</v>
      </c>
      <c r="Y52" s="26">
        <v>130.6</v>
      </c>
      <c r="Z52" s="26">
        <v>119.8</v>
      </c>
      <c r="AA52" s="26">
        <v>128.30000000000001</v>
      </c>
      <c r="AB52" s="26">
        <v>135.19999999999999</v>
      </c>
      <c r="AC52" s="26">
        <v>123.3</v>
      </c>
      <c r="AD52" s="26">
        <v>127.4</v>
      </c>
      <c r="AE52" s="26">
        <v>132.80000000000001</v>
      </c>
      <c r="AF52" s="26">
        <v>1728.5000000000002</v>
      </c>
      <c r="AG52" s="26">
        <v>418.59999999999997</v>
      </c>
      <c r="AH52" s="26">
        <v>268.29999999999995</v>
      </c>
      <c r="AI52" s="26">
        <v>253.89999999999998</v>
      </c>
      <c r="AJ52" s="26">
        <v>255.70000000000002</v>
      </c>
      <c r="AK52" s="26">
        <v>3324.2000000000003</v>
      </c>
    </row>
    <row r="53" spans="1:37" x14ac:dyDescent="0.25">
      <c r="A53" t="s">
        <v>31</v>
      </c>
      <c r="B53">
        <v>2017</v>
      </c>
      <c r="C53" t="s">
        <v>38</v>
      </c>
      <c r="D53" s="25">
        <v>42826</v>
      </c>
      <c r="E53" s="26">
        <v>133.19999999999999</v>
      </c>
      <c r="F53" s="26">
        <v>138.69999999999999</v>
      </c>
      <c r="G53" s="26">
        <v>127.1</v>
      </c>
      <c r="H53" s="26">
        <v>137.69999999999999</v>
      </c>
      <c r="I53" s="26">
        <v>121.3</v>
      </c>
      <c r="J53" s="26">
        <v>141.80000000000001</v>
      </c>
      <c r="K53" s="26">
        <v>121.5</v>
      </c>
      <c r="L53" s="26">
        <v>144.5</v>
      </c>
      <c r="M53" s="26">
        <v>117.4</v>
      </c>
      <c r="N53" s="26">
        <v>134.1</v>
      </c>
      <c r="O53" s="26">
        <v>130</v>
      </c>
      <c r="P53" s="26">
        <v>145.5</v>
      </c>
      <c r="Q53" s="26">
        <v>133.5</v>
      </c>
      <c r="R53" s="26">
        <v>144.4</v>
      </c>
      <c r="S53" s="26">
        <v>142.4</v>
      </c>
      <c r="T53" s="26">
        <v>136.80000000000001</v>
      </c>
      <c r="U53" s="26">
        <v>141.6</v>
      </c>
      <c r="V53" s="26" t="s">
        <v>33</v>
      </c>
      <c r="W53" s="26">
        <v>135</v>
      </c>
      <c r="X53" s="26">
        <v>134.30000000000001</v>
      </c>
      <c r="Y53" s="26">
        <v>131</v>
      </c>
      <c r="Z53" s="26">
        <v>119.2</v>
      </c>
      <c r="AA53" s="26">
        <v>128.30000000000001</v>
      </c>
      <c r="AB53" s="26">
        <v>135.69999999999999</v>
      </c>
      <c r="AC53" s="26">
        <v>123.7</v>
      </c>
      <c r="AD53" s="26">
        <v>127.5</v>
      </c>
      <c r="AE53" s="26">
        <v>132.9</v>
      </c>
      <c r="AF53" s="26">
        <v>1726.3</v>
      </c>
      <c r="AG53" s="26">
        <v>420.80000000000007</v>
      </c>
      <c r="AH53" s="26">
        <v>269.3</v>
      </c>
      <c r="AI53" s="26">
        <v>254.7</v>
      </c>
      <c r="AJ53" s="26">
        <v>255.8</v>
      </c>
      <c r="AK53" s="26">
        <v>3326.2000000000003</v>
      </c>
    </row>
    <row r="54" spans="1:37" x14ac:dyDescent="0.25">
      <c r="A54" t="s">
        <v>31</v>
      </c>
      <c r="B54">
        <v>2017</v>
      </c>
      <c r="C54" t="s">
        <v>39</v>
      </c>
      <c r="D54" s="25">
        <v>42856</v>
      </c>
      <c r="E54" s="26">
        <v>133.1</v>
      </c>
      <c r="F54" s="26">
        <v>140.30000000000001</v>
      </c>
      <c r="G54" s="26">
        <v>126.8</v>
      </c>
      <c r="H54" s="26">
        <v>138.19999999999999</v>
      </c>
      <c r="I54" s="26">
        <v>120.8</v>
      </c>
      <c r="J54" s="26">
        <v>140.19999999999999</v>
      </c>
      <c r="K54" s="26">
        <v>123.8</v>
      </c>
      <c r="L54" s="26">
        <v>141.80000000000001</v>
      </c>
      <c r="M54" s="26">
        <v>118.6</v>
      </c>
      <c r="N54" s="26">
        <v>134</v>
      </c>
      <c r="O54" s="26">
        <v>130.30000000000001</v>
      </c>
      <c r="P54" s="26">
        <v>145.80000000000001</v>
      </c>
      <c r="Q54" s="26">
        <v>133.80000000000001</v>
      </c>
      <c r="R54" s="26">
        <v>145.5</v>
      </c>
      <c r="S54" s="26">
        <v>142.5</v>
      </c>
      <c r="T54" s="26">
        <v>137.30000000000001</v>
      </c>
      <c r="U54" s="26">
        <v>141.80000000000001</v>
      </c>
      <c r="V54" s="26" t="s">
        <v>33</v>
      </c>
      <c r="W54" s="26">
        <v>135</v>
      </c>
      <c r="X54" s="26">
        <v>134.9</v>
      </c>
      <c r="Y54" s="26">
        <v>131.4</v>
      </c>
      <c r="Z54" s="26">
        <v>119.4</v>
      </c>
      <c r="AA54" s="26">
        <v>129.4</v>
      </c>
      <c r="AB54" s="26">
        <v>136.30000000000001</v>
      </c>
      <c r="AC54" s="26">
        <v>123.7</v>
      </c>
      <c r="AD54" s="26">
        <v>127.9</v>
      </c>
      <c r="AE54" s="26">
        <v>133.30000000000001</v>
      </c>
      <c r="AF54" s="26">
        <v>1727.4999999999995</v>
      </c>
      <c r="AG54" s="26">
        <v>421.6</v>
      </c>
      <c r="AH54" s="26">
        <v>269.89999999999998</v>
      </c>
      <c r="AI54" s="26">
        <v>255.10000000000002</v>
      </c>
      <c r="AJ54" s="26">
        <v>257.3</v>
      </c>
      <c r="AK54" s="26">
        <v>3332.5999999999995</v>
      </c>
    </row>
    <row r="55" spans="1:37" x14ac:dyDescent="0.25">
      <c r="A55" t="s">
        <v>31</v>
      </c>
      <c r="B55">
        <v>2017</v>
      </c>
      <c r="C55" t="s">
        <v>40</v>
      </c>
      <c r="D55" s="25">
        <v>42887</v>
      </c>
      <c r="E55" s="26">
        <v>133.5</v>
      </c>
      <c r="F55" s="26">
        <v>143.69999999999999</v>
      </c>
      <c r="G55" s="26">
        <v>128</v>
      </c>
      <c r="H55" s="26">
        <v>138.6</v>
      </c>
      <c r="I55" s="26">
        <v>120.9</v>
      </c>
      <c r="J55" s="26">
        <v>140.9</v>
      </c>
      <c r="K55" s="26">
        <v>128.80000000000001</v>
      </c>
      <c r="L55" s="26">
        <v>140.19999999999999</v>
      </c>
      <c r="M55" s="26">
        <v>118.9</v>
      </c>
      <c r="N55" s="26">
        <v>133.5</v>
      </c>
      <c r="O55" s="26">
        <v>130.4</v>
      </c>
      <c r="P55" s="26">
        <v>146.5</v>
      </c>
      <c r="Q55" s="26">
        <v>134.9</v>
      </c>
      <c r="R55" s="26">
        <v>145.80000000000001</v>
      </c>
      <c r="S55" s="26">
        <v>143.1</v>
      </c>
      <c r="T55" s="26">
        <v>137.69999999999999</v>
      </c>
      <c r="U55" s="26">
        <v>142.30000000000001</v>
      </c>
      <c r="V55" s="26" t="s">
        <v>33</v>
      </c>
      <c r="W55" s="26">
        <v>134.80000000000001</v>
      </c>
      <c r="X55" s="26">
        <v>135.19999999999999</v>
      </c>
      <c r="Y55" s="26">
        <v>131.30000000000001</v>
      </c>
      <c r="Z55" s="26">
        <v>119.4</v>
      </c>
      <c r="AA55" s="26">
        <v>129.80000000000001</v>
      </c>
      <c r="AB55" s="26">
        <v>136.9</v>
      </c>
      <c r="AC55" s="26">
        <v>124.1</v>
      </c>
      <c r="AD55" s="26">
        <v>128.1</v>
      </c>
      <c r="AE55" s="26">
        <v>133.9</v>
      </c>
      <c r="AF55" s="26">
        <v>1738.8000000000002</v>
      </c>
      <c r="AG55" s="26">
        <v>423.09999999999997</v>
      </c>
      <c r="AH55" s="26">
        <v>270</v>
      </c>
      <c r="AI55" s="26">
        <v>255.4</v>
      </c>
      <c r="AJ55" s="26">
        <v>257.89999999999998</v>
      </c>
      <c r="AK55" s="26">
        <v>3347.3</v>
      </c>
    </row>
    <row r="56" spans="1:37" x14ac:dyDescent="0.25">
      <c r="A56" t="s">
        <v>31</v>
      </c>
      <c r="B56">
        <v>2017</v>
      </c>
      <c r="C56" t="s">
        <v>41</v>
      </c>
      <c r="D56" s="25">
        <v>42917</v>
      </c>
      <c r="E56" s="26">
        <v>134</v>
      </c>
      <c r="F56" s="26">
        <v>144.19999999999999</v>
      </c>
      <c r="G56" s="26">
        <v>129.80000000000001</v>
      </c>
      <c r="H56" s="26">
        <v>139</v>
      </c>
      <c r="I56" s="26">
        <v>120.9</v>
      </c>
      <c r="J56" s="26">
        <v>143.9</v>
      </c>
      <c r="K56" s="26">
        <v>151.5</v>
      </c>
      <c r="L56" s="26">
        <v>138.1</v>
      </c>
      <c r="M56" s="26">
        <v>120</v>
      </c>
      <c r="N56" s="26">
        <v>133.9</v>
      </c>
      <c r="O56" s="26">
        <v>131.4</v>
      </c>
      <c r="P56" s="26">
        <v>147.69999999999999</v>
      </c>
      <c r="Q56" s="26">
        <v>138.5</v>
      </c>
      <c r="R56" s="26">
        <v>147.4</v>
      </c>
      <c r="S56" s="26">
        <v>144.30000000000001</v>
      </c>
      <c r="T56" s="26">
        <v>138.1</v>
      </c>
      <c r="U56" s="26">
        <v>143.5</v>
      </c>
      <c r="V56" s="26" t="s">
        <v>33</v>
      </c>
      <c r="W56" s="26">
        <v>135.30000000000001</v>
      </c>
      <c r="X56" s="26">
        <v>136.1</v>
      </c>
      <c r="Y56" s="26">
        <v>132.1</v>
      </c>
      <c r="Z56" s="26">
        <v>119.1</v>
      </c>
      <c r="AA56" s="26">
        <v>130.6</v>
      </c>
      <c r="AB56" s="26">
        <v>138.6</v>
      </c>
      <c r="AC56" s="26">
        <v>124.4</v>
      </c>
      <c r="AD56" s="26">
        <v>128.6</v>
      </c>
      <c r="AE56" s="26">
        <v>136.19999999999999</v>
      </c>
      <c r="AF56" s="26">
        <v>1772.9</v>
      </c>
      <c r="AG56" s="26">
        <v>425.9</v>
      </c>
      <c r="AH56" s="26">
        <v>271.39999999999998</v>
      </c>
      <c r="AI56" s="26">
        <v>256.5</v>
      </c>
      <c r="AJ56" s="26">
        <v>259.2</v>
      </c>
      <c r="AK56" s="26">
        <v>3391</v>
      </c>
    </row>
    <row r="57" spans="1:37" x14ac:dyDescent="0.25">
      <c r="A57" t="s">
        <v>31</v>
      </c>
      <c r="B57">
        <v>2017</v>
      </c>
      <c r="C57" t="s">
        <v>42</v>
      </c>
      <c r="D57" s="25">
        <v>42948</v>
      </c>
      <c r="E57" s="26">
        <v>134.80000000000001</v>
      </c>
      <c r="F57" s="26">
        <v>143.1</v>
      </c>
      <c r="G57" s="26">
        <v>130</v>
      </c>
      <c r="H57" s="26">
        <v>139.4</v>
      </c>
      <c r="I57" s="26">
        <v>120.5</v>
      </c>
      <c r="J57" s="26">
        <v>148</v>
      </c>
      <c r="K57" s="26">
        <v>162.9</v>
      </c>
      <c r="L57" s="26">
        <v>137.4</v>
      </c>
      <c r="M57" s="26">
        <v>120.8</v>
      </c>
      <c r="N57" s="26">
        <v>134.69999999999999</v>
      </c>
      <c r="O57" s="26">
        <v>131.6</v>
      </c>
      <c r="P57" s="26">
        <v>148.69999999999999</v>
      </c>
      <c r="Q57" s="26">
        <v>140.6</v>
      </c>
      <c r="R57" s="26">
        <v>149</v>
      </c>
      <c r="S57" s="26">
        <v>145.30000000000001</v>
      </c>
      <c r="T57" s="26">
        <v>139.19999999999999</v>
      </c>
      <c r="U57" s="26">
        <v>144.5</v>
      </c>
      <c r="V57" s="26" t="s">
        <v>33</v>
      </c>
      <c r="W57" s="26">
        <v>136.4</v>
      </c>
      <c r="X57" s="26">
        <v>137.30000000000001</v>
      </c>
      <c r="Y57" s="26">
        <v>133</v>
      </c>
      <c r="Z57" s="26">
        <v>120.3</v>
      </c>
      <c r="AA57" s="26">
        <v>131.5</v>
      </c>
      <c r="AB57" s="26">
        <v>140.19999999999999</v>
      </c>
      <c r="AC57" s="26">
        <v>125.4</v>
      </c>
      <c r="AD57" s="26">
        <v>129.69999999999999</v>
      </c>
      <c r="AE57" s="26">
        <v>137.80000000000001</v>
      </c>
      <c r="AF57" s="26">
        <v>1792.4999999999998</v>
      </c>
      <c r="AG57" s="26">
        <v>429</v>
      </c>
      <c r="AH57" s="26">
        <v>273.70000000000005</v>
      </c>
      <c r="AI57" s="26">
        <v>258.39999999999998</v>
      </c>
      <c r="AJ57" s="26">
        <v>261.2</v>
      </c>
      <c r="AK57" s="26">
        <v>3424.2999999999997</v>
      </c>
    </row>
    <row r="58" spans="1:37" x14ac:dyDescent="0.25">
      <c r="A58" t="s">
        <v>31</v>
      </c>
      <c r="B58">
        <v>2017</v>
      </c>
      <c r="C58" t="s">
        <v>43</v>
      </c>
      <c r="D58" s="25">
        <v>42979</v>
      </c>
      <c r="E58" s="26">
        <v>135.19999999999999</v>
      </c>
      <c r="F58" s="26">
        <v>142</v>
      </c>
      <c r="G58" s="26">
        <v>130.5</v>
      </c>
      <c r="H58" s="26">
        <v>140.19999999999999</v>
      </c>
      <c r="I58" s="26">
        <v>120.7</v>
      </c>
      <c r="J58" s="26">
        <v>147.80000000000001</v>
      </c>
      <c r="K58" s="26">
        <v>154.5</v>
      </c>
      <c r="L58" s="26">
        <v>137.1</v>
      </c>
      <c r="M58" s="26">
        <v>121</v>
      </c>
      <c r="N58" s="26">
        <v>134.69999999999999</v>
      </c>
      <c r="O58" s="26">
        <v>131.69999999999999</v>
      </c>
      <c r="P58" s="26">
        <v>149.30000000000001</v>
      </c>
      <c r="Q58" s="26">
        <v>139.6</v>
      </c>
      <c r="R58" s="26">
        <v>149.80000000000001</v>
      </c>
      <c r="S58" s="26">
        <v>146.1</v>
      </c>
      <c r="T58" s="26">
        <v>139.69999999999999</v>
      </c>
      <c r="U58" s="26">
        <v>145.19999999999999</v>
      </c>
      <c r="V58" s="26" t="s">
        <v>33</v>
      </c>
      <c r="W58" s="26">
        <v>137.4</v>
      </c>
      <c r="X58" s="26">
        <v>137.9</v>
      </c>
      <c r="Y58" s="26">
        <v>133.4</v>
      </c>
      <c r="Z58" s="26">
        <v>121.2</v>
      </c>
      <c r="AA58" s="26">
        <v>132.30000000000001</v>
      </c>
      <c r="AB58" s="26">
        <v>139.6</v>
      </c>
      <c r="AC58" s="26">
        <v>126.7</v>
      </c>
      <c r="AD58" s="26">
        <v>130.30000000000001</v>
      </c>
      <c r="AE58" s="26">
        <v>137.6</v>
      </c>
      <c r="AF58" s="26">
        <v>1784.3</v>
      </c>
      <c r="AG58" s="26">
        <v>430.99999999999994</v>
      </c>
      <c r="AH58" s="26">
        <v>275.3</v>
      </c>
      <c r="AI58" s="26">
        <v>260.10000000000002</v>
      </c>
      <c r="AJ58" s="26">
        <v>262.60000000000002</v>
      </c>
      <c r="AK58" s="26">
        <v>3423.9</v>
      </c>
    </row>
    <row r="59" spans="1:37" x14ac:dyDescent="0.25">
      <c r="A59" t="s">
        <v>31</v>
      </c>
      <c r="B59">
        <v>2017</v>
      </c>
      <c r="C59" t="s">
        <v>44</v>
      </c>
      <c r="D59" s="25">
        <v>43009</v>
      </c>
      <c r="E59" s="26">
        <v>135.9</v>
      </c>
      <c r="F59" s="26">
        <v>141.9</v>
      </c>
      <c r="G59" s="26">
        <v>131</v>
      </c>
      <c r="H59" s="26">
        <v>141.5</v>
      </c>
      <c r="I59" s="26">
        <v>121.4</v>
      </c>
      <c r="J59" s="26">
        <v>146.69999999999999</v>
      </c>
      <c r="K59" s="26">
        <v>157.1</v>
      </c>
      <c r="L59" s="26">
        <v>136.4</v>
      </c>
      <c r="M59" s="26">
        <v>121.4</v>
      </c>
      <c r="N59" s="26">
        <v>135.6</v>
      </c>
      <c r="O59" s="26">
        <v>131.30000000000001</v>
      </c>
      <c r="P59" s="26">
        <v>150.30000000000001</v>
      </c>
      <c r="Q59" s="26">
        <v>140.4</v>
      </c>
      <c r="R59" s="26">
        <v>150.5</v>
      </c>
      <c r="S59" s="26">
        <v>147.19999999999999</v>
      </c>
      <c r="T59" s="26">
        <v>140.6</v>
      </c>
      <c r="U59" s="26">
        <v>146.19999999999999</v>
      </c>
      <c r="V59" s="26" t="s">
        <v>33</v>
      </c>
      <c r="W59" s="26">
        <v>138.1</v>
      </c>
      <c r="X59" s="26">
        <v>138.4</v>
      </c>
      <c r="Y59" s="26">
        <v>134.19999999999999</v>
      </c>
      <c r="Z59" s="26">
        <v>121</v>
      </c>
      <c r="AA59" s="26">
        <v>133</v>
      </c>
      <c r="AB59" s="26">
        <v>140.1</v>
      </c>
      <c r="AC59" s="26">
        <v>127.4</v>
      </c>
      <c r="AD59" s="26">
        <v>130.69999999999999</v>
      </c>
      <c r="AE59" s="26">
        <v>138.30000000000001</v>
      </c>
      <c r="AF59" s="26">
        <v>1790.8999999999999</v>
      </c>
      <c r="AG59" s="26">
        <v>433.99999999999994</v>
      </c>
      <c r="AH59" s="26">
        <v>276.5</v>
      </c>
      <c r="AI59" s="26">
        <v>261.60000000000002</v>
      </c>
      <c r="AJ59" s="26">
        <v>263.7</v>
      </c>
      <c r="AK59" s="26">
        <v>3438.2999999999997</v>
      </c>
    </row>
    <row r="60" spans="1:37" x14ac:dyDescent="0.25">
      <c r="A60" t="s">
        <v>31</v>
      </c>
      <c r="B60">
        <v>2017</v>
      </c>
      <c r="C60" t="s">
        <v>46</v>
      </c>
      <c r="D60" s="25">
        <v>43040</v>
      </c>
      <c r="E60" s="26">
        <v>136.30000000000001</v>
      </c>
      <c r="F60" s="26">
        <v>142.5</v>
      </c>
      <c r="G60" s="26">
        <v>140.5</v>
      </c>
      <c r="H60" s="26">
        <v>141.5</v>
      </c>
      <c r="I60" s="26">
        <v>121.6</v>
      </c>
      <c r="J60" s="26">
        <v>147.30000000000001</v>
      </c>
      <c r="K60" s="26">
        <v>168</v>
      </c>
      <c r="L60" s="26">
        <v>135.80000000000001</v>
      </c>
      <c r="M60" s="26">
        <v>122.5</v>
      </c>
      <c r="N60" s="26">
        <v>136</v>
      </c>
      <c r="O60" s="26">
        <v>131.9</v>
      </c>
      <c r="P60" s="26">
        <v>151.4</v>
      </c>
      <c r="Q60" s="26">
        <v>142.4</v>
      </c>
      <c r="R60" s="26">
        <v>152.1</v>
      </c>
      <c r="S60" s="26">
        <v>148.19999999999999</v>
      </c>
      <c r="T60" s="26">
        <v>141.5</v>
      </c>
      <c r="U60" s="26">
        <v>147.30000000000001</v>
      </c>
      <c r="V60" s="26" t="s">
        <v>33</v>
      </c>
      <c r="W60" s="26">
        <v>141.1</v>
      </c>
      <c r="X60" s="26">
        <v>139.4</v>
      </c>
      <c r="Y60" s="26">
        <v>135.80000000000001</v>
      </c>
      <c r="Z60" s="26">
        <v>121.6</v>
      </c>
      <c r="AA60" s="26">
        <v>133.69999999999999</v>
      </c>
      <c r="AB60" s="26">
        <v>141.5</v>
      </c>
      <c r="AC60" s="26">
        <v>128.1</v>
      </c>
      <c r="AD60" s="26">
        <v>131.69999999999999</v>
      </c>
      <c r="AE60" s="26">
        <v>140</v>
      </c>
      <c r="AF60" s="26">
        <v>1817.7000000000003</v>
      </c>
      <c r="AG60" s="26">
        <v>437</v>
      </c>
      <c r="AH60" s="26">
        <v>280.5</v>
      </c>
      <c r="AI60" s="26">
        <v>263.89999999999998</v>
      </c>
      <c r="AJ60" s="26">
        <v>265.39999999999998</v>
      </c>
      <c r="AK60" s="26">
        <v>3479.7000000000003</v>
      </c>
    </row>
    <row r="61" spans="1:37" x14ac:dyDescent="0.25">
      <c r="A61" t="s">
        <v>31</v>
      </c>
      <c r="B61">
        <v>2017</v>
      </c>
      <c r="C61" t="s">
        <v>47</v>
      </c>
      <c r="D61" s="25">
        <v>43070</v>
      </c>
      <c r="E61" s="26">
        <v>136.4</v>
      </c>
      <c r="F61" s="26">
        <v>143.69999999999999</v>
      </c>
      <c r="G61" s="26">
        <v>144.80000000000001</v>
      </c>
      <c r="H61" s="26">
        <v>141.9</v>
      </c>
      <c r="I61" s="26">
        <v>123.1</v>
      </c>
      <c r="J61" s="26">
        <v>147.19999999999999</v>
      </c>
      <c r="K61" s="26">
        <v>161</v>
      </c>
      <c r="L61" s="26">
        <v>133.80000000000001</v>
      </c>
      <c r="M61" s="26">
        <v>121.9</v>
      </c>
      <c r="N61" s="26">
        <v>135.80000000000001</v>
      </c>
      <c r="O61" s="26">
        <v>131.1</v>
      </c>
      <c r="P61" s="26">
        <v>151.4</v>
      </c>
      <c r="Q61" s="26">
        <v>141.5</v>
      </c>
      <c r="R61" s="26">
        <v>153.19999999999999</v>
      </c>
      <c r="S61" s="26">
        <v>148</v>
      </c>
      <c r="T61" s="26">
        <v>141.9</v>
      </c>
      <c r="U61" s="26">
        <v>147.19999999999999</v>
      </c>
      <c r="V61" s="26" t="s">
        <v>33</v>
      </c>
      <c r="W61" s="26">
        <v>142.6</v>
      </c>
      <c r="X61" s="26">
        <v>139.5</v>
      </c>
      <c r="Y61" s="26">
        <v>136.1</v>
      </c>
      <c r="Z61" s="26">
        <v>122</v>
      </c>
      <c r="AA61" s="26">
        <v>133.4</v>
      </c>
      <c r="AB61" s="26">
        <v>141.1</v>
      </c>
      <c r="AC61" s="26">
        <v>127.8</v>
      </c>
      <c r="AD61" s="26">
        <v>131.9</v>
      </c>
      <c r="AE61" s="26">
        <v>139.80000000000001</v>
      </c>
      <c r="AF61" s="26">
        <v>1813.6000000000001</v>
      </c>
      <c r="AG61" s="26">
        <v>437.09999999999997</v>
      </c>
      <c r="AH61" s="26">
        <v>282.10000000000002</v>
      </c>
      <c r="AI61" s="26">
        <v>263.89999999999998</v>
      </c>
      <c r="AJ61" s="26">
        <v>265.3</v>
      </c>
      <c r="AK61" s="26">
        <v>3478.3</v>
      </c>
    </row>
    <row r="62" spans="1:37" x14ac:dyDescent="0.25">
      <c r="A62" t="s">
        <v>31</v>
      </c>
      <c r="B62">
        <v>2018</v>
      </c>
      <c r="C62" t="s">
        <v>32</v>
      </c>
      <c r="D62" s="25">
        <v>43101</v>
      </c>
      <c r="E62" s="26">
        <v>136.6</v>
      </c>
      <c r="F62" s="26">
        <v>144.4</v>
      </c>
      <c r="G62" s="26">
        <v>143.80000000000001</v>
      </c>
      <c r="H62" s="26">
        <v>142</v>
      </c>
      <c r="I62" s="26">
        <v>123.2</v>
      </c>
      <c r="J62" s="26">
        <v>147.9</v>
      </c>
      <c r="K62" s="26">
        <v>152.1</v>
      </c>
      <c r="L62" s="26">
        <v>131.80000000000001</v>
      </c>
      <c r="M62" s="26">
        <v>119.5</v>
      </c>
      <c r="N62" s="26">
        <v>136</v>
      </c>
      <c r="O62" s="26">
        <v>131.19999999999999</v>
      </c>
      <c r="P62" s="26">
        <v>151.80000000000001</v>
      </c>
      <c r="Q62" s="26">
        <v>140.4</v>
      </c>
      <c r="R62" s="26">
        <v>153.6</v>
      </c>
      <c r="S62" s="26">
        <v>148.30000000000001</v>
      </c>
      <c r="T62" s="26">
        <v>142.30000000000001</v>
      </c>
      <c r="U62" s="26">
        <v>147.5</v>
      </c>
      <c r="V62" s="26" t="s">
        <v>33</v>
      </c>
      <c r="W62" s="26">
        <v>142.30000000000001</v>
      </c>
      <c r="X62" s="26">
        <v>139.80000000000001</v>
      </c>
      <c r="Y62" s="26">
        <v>136</v>
      </c>
      <c r="Z62" s="26">
        <v>122.7</v>
      </c>
      <c r="AA62" s="26">
        <v>134.30000000000001</v>
      </c>
      <c r="AB62" s="26">
        <v>141.6</v>
      </c>
      <c r="AC62" s="26">
        <v>128.6</v>
      </c>
      <c r="AD62" s="26">
        <v>132.30000000000001</v>
      </c>
      <c r="AE62" s="26">
        <v>139.30000000000001</v>
      </c>
      <c r="AF62" s="26">
        <v>1800.7</v>
      </c>
      <c r="AG62" s="26">
        <v>438.1</v>
      </c>
      <c r="AH62" s="26">
        <v>282.10000000000002</v>
      </c>
      <c r="AI62" s="26">
        <v>264.60000000000002</v>
      </c>
      <c r="AJ62" s="26">
        <v>266.60000000000002</v>
      </c>
      <c r="AK62" s="26">
        <v>3469.9999999999995</v>
      </c>
    </row>
    <row r="63" spans="1:37" x14ac:dyDescent="0.25">
      <c r="A63" t="s">
        <v>31</v>
      </c>
      <c r="B63">
        <v>2018</v>
      </c>
      <c r="C63" t="s">
        <v>36</v>
      </c>
      <c r="D63" s="25">
        <v>43132</v>
      </c>
      <c r="E63" s="26">
        <v>136.4</v>
      </c>
      <c r="F63" s="26">
        <v>143.69999999999999</v>
      </c>
      <c r="G63" s="26">
        <v>140.6</v>
      </c>
      <c r="H63" s="26">
        <v>141.5</v>
      </c>
      <c r="I63" s="26">
        <v>122.9</v>
      </c>
      <c r="J63" s="26">
        <v>149.4</v>
      </c>
      <c r="K63" s="26">
        <v>142.4</v>
      </c>
      <c r="L63" s="26">
        <v>130.19999999999999</v>
      </c>
      <c r="M63" s="26">
        <v>117.9</v>
      </c>
      <c r="N63" s="26">
        <v>135.6</v>
      </c>
      <c r="O63" s="26">
        <v>130.5</v>
      </c>
      <c r="P63" s="26">
        <v>151.69999999999999</v>
      </c>
      <c r="Q63" s="26">
        <v>138.69999999999999</v>
      </c>
      <c r="R63" s="26">
        <v>153.30000000000001</v>
      </c>
      <c r="S63" s="26">
        <v>148.69999999999999</v>
      </c>
      <c r="T63" s="26">
        <v>142.4</v>
      </c>
      <c r="U63" s="26">
        <v>147.80000000000001</v>
      </c>
      <c r="V63" s="26" t="s">
        <v>33</v>
      </c>
      <c r="W63" s="26">
        <v>142.4</v>
      </c>
      <c r="X63" s="26">
        <v>139.9</v>
      </c>
      <c r="Y63" s="26">
        <v>136.19999999999999</v>
      </c>
      <c r="Z63" s="26">
        <v>123.3</v>
      </c>
      <c r="AA63" s="26">
        <v>134.30000000000001</v>
      </c>
      <c r="AB63" s="26">
        <v>141.5</v>
      </c>
      <c r="AC63" s="26">
        <v>128.80000000000001</v>
      </c>
      <c r="AD63" s="26">
        <v>132.5</v>
      </c>
      <c r="AE63" s="26">
        <v>138.5</v>
      </c>
      <c r="AF63" s="26">
        <v>1781.5</v>
      </c>
      <c r="AG63" s="26">
        <v>438.90000000000003</v>
      </c>
      <c r="AH63" s="26">
        <v>282.3</v>
      </c>
      <c r="AI63" s="26">
        <v>265</v>
      </c>
      <c r="AJ63" s="26">
        <v>266.8</v>
      </c>
      <c r="AK63" s="26">
        <v>3452.6000000000004</v>
      </c>
    </row>
    <row r="64" spans="1:37" x14ac:dyDescent="0.25">
      <c r="A64" t="s">
        <v>31</v>
      </c>
      <c r="B64">
        <v>2018</v>
      </c>
      <c r="C64" t="s">
        <v>37</v>
      </c>
      <c r="D64" s="25">
        <v>43160</v>
      </c>
      <c r="E64" s="26">
        <v>136.80000000000001</v>
      </c>
      <c r="F64" s="26">
        <v>143.80000000000001</v>
      </c>
      <c r="G64" s="26">
        <v>140</v>
      </c>
      <c r="H64" s="26">
        <v>142</v>
      </c>
      <c r="I64" s="26">
        <v>123.2</v>
      </c>
      <c r="J64" s="26">
        <v>152.9</v>
      </c>
      <c r="K64" s="26">
        <v>138</v>
      </c>
      <c r="L64" s="26">
        <v>129.30000000000001</v>
      </c>
      <c r="M64" s="26">
        <v>117.1</v>
      </c>
      <c r="N64" s="26">
        <v>136.30000000000001</v>
      </c>
      <c r="O64" s="26">
        <v>131.19999999999999</v>
      </c>
      <c r="P64" s="26">
        <v>152.80000000000001</v>
      </c>
      <c r="Q64" s="26">
        <v>138.6</v>
      </c>
      <c r="R64" s="26">
        <v>155.1</v>
      </c>
      <c r="S64" s="26">
        <v>149.19999999999999</v>
      </c>
      <c r="T64" s="26">
        <v>143</v>
      </c>
      <c r="U64" s="26">
        <v>148.30000000000001</v>
      </c>
      <c r="V64" s="26" t="s">
        <v>33</v>
      </c>
      <c r="W64" s="26">
        <v>142.6</v>
      </c>
      <c r="X64" s="26">
        <v>139.9</v>
      </c>
      <c r="Y64" s="26">
        <v>136.69999999999999</v>
      </c>
      <c r="Z64" s="26">
        <v>124.6</v>
      </c>
      <c r="AA64" s="26">
        <v>135.1</v>
      </c>
      <c r="AB64" s="26">
        <v>142.69999999999999</v>
      </c>
      <c r="AC64" s="26">
        <v>129.30000000000001</v>
      </c>
      <c r="AD64" s="26">
        <v>133.30000000000001</v>
      </c>
      <c r="AE64" s="26">
        <v>138.69999999999999</v>
      </c>
      <c r="AF64" s="26">
        <v>1781.9999999999998</v>
      </c>
      <c r="AG64" s="26">
        <v>440.5</v>
      </c>
      <c r="AH64" s="26">
        <v>282.5</v>
      </c>
      <c r="AI64" s="26">
        <v>266</v>
      </c>
      <c r="AJ64" s="26">
        <v>268.39999999999998</v>
      </c>
      <c r="AK64" s="26">
        <v>3461.7999999999997</v>
      </c>
    </row>
    <row r="65" spans="1:37" x14ac:dyDescent="0.25">
      <c r="A65" t="s">
        <v>31</v>
      </c>
      <c r="B65">
        <v>2018</v>
      </c>
      <c r="C65" t="s">
        <v>38</v>
      </c>
      <c r="D65" s="25">
        <v>43191</v>
      </c>
      <c r="E65" s="26">
        <v>137.1</v>
      </c>
      <c r="F65" s="26">
        <v>144.5</v>
      </c>
      <c r="G65" s="26">
        <v>135.9</v>
      </c>
      <c r="H65" s="26">
        <v>142.4</v>
      </c>
      <c r="I65" s="26">
        <v>123.5</v>
      </c>
      <c r="J65" s="26">
        <v>156.4</v>
      </c>
      <c r="K65" s="26">
        <v>135.1</v>
      </c>
      <c r="L65" s="26">
        <v>128.4</v>
      </c>
      <c r="M65" s="26">
        <v>115.2</v>
      </c>
      <c r="N65" s="26">
        <v>137.19999999999999</v>
      </c>
      <c r="O65" s="26">
        <v>131.9</v>
      </c>
      <c r="P65" s="26">
        <v>153.80000000000001</v>
      </c>
      <c r="Q65" s="26">
        <v>138.6</v>
      </c>
      <c r="R65" s="26">
        <v>156.1</v>
      </c>
      <c r="S65" s="26">
        <v>150.1</v>
      </c>
      <c r="T65" s="26">
        <v>143.30000000000001</v>
      </c>
      <c r="U65" s="26">
        <v>149.1</v>
      </c>
      <c r="V65" s="26" t="s">
        <v>33</v>
      </c>
      <c r="W65" s="26">
        <v>143.80000000000001</v>
      </c>
      <c r="X65" s="26">
        <v>140.9</v>
      </c>
      <c r="Y65" s="26">
        <v>137.6</v>
      </c>
      <c r="Z65" s="26">
        <v>125.3</v>
      </c>
      <c r="AA65" s="26">
        <v>136</v>
      </c>
      <c r="AB65" s="26">
        <v>143.69999999999999</v>
      </c>
      <c r="AC65" s="26">
        <v>130.4</v>
      </c>
      <c r="AD65" s="26">
        <v>134.19999999999999</v>
      </c>
      <c r="AE65" s="26">
        <v>139.1</v>
      </c>
      <c r="AF65" s="26">
        <v>1780</v>
      </c>
      <c r="AG65" s="26">
        <v>442.5</v>
      </c>
      <c r="AH65" s="26">
        <v>284.70000000000005</v>
      </c>
      <c r="AI65" s="26">
        <v>268</v>
      </c>
      <c r="AJ65" s="26">
        <v>270.2</v>
      </c>
      <c r="AK65" s="26">
        <v>3470.5</v>
      </c>
    </row>
    <row r="66" spans="1:37" x14ac:dyDescent="0.25">
      <c r="A66" t="s">
        <v>31</v>
      </c>
      <c r="B66">
        <v>2018</v>
      </c>
      <c r="C66" t="s">
        <v>39</v>
      </c>
      <c r="D66" s="25">
        <v>43221</v>
      </c>
      <c r="E66" s="26">
        <v>137.4</v>
      </c>
      <c r="F66" s="26">
        <v>145.69999999999999</v>
      </c>
      <c r="G66" s="26">
        <v>135.5</v>
      </c>
      <c r="H66" s="26">
        <v>142.9</v>
      </c>
      <c r="I66" s="26">
        <v>123.6</v>
      </c>
      <c r="J66" s="26">
        <v>157.5</v>
      </c>
      <c r="K66" s="26">
        <v>137.80000000000001</v>
      </c>
      <c r="L66" s="26">
        <v>127.2</v>
      </c>
      <c r="M66" s="26">
        <v>111.8</v>
      </c>
      <c r="N66" s="26">
        <v>137.4</v>
      </c>
      <c r="O66" s="26">
        <v>132.19999999999999</v>
      </c>
      <c r="P66" s="26">
        <v>154.30000000000001</v>
      </c>
      <c r="Q66" s="26">
        <v>139.1</v>
      </c>
      <c r="R66" s="26">
        <v>157</v>
      </c>
      <c r="S66" s="26">
        <v>150.80000000000001</v>
      </c>
      <c r="T66" s="26">
        <v>144.1</v>
      </c>
      <c r="U66" s="26">
        <v>149.80000000000001</v>
      </c>
      <c r="V66" s="26" t="s">
        <v>33</v>
      </c>
      <c r="W66" s="26">
        <v>144.30000000000001</v>
      </c>
      <c r="X66" s="26">
        <v>141.80000000000001</v>
      </c>
      <c r="Y66" s="26">
        <v>138.4</v>
      </c>
      <c r="Z66" s="26">
        <v>126.4</v>
      </c>
      <c r="AA66" s="26">
        <v>136.80000000000001</v>
      </c>
      <c r="AB66" s="26">
        <v>144.4</v>
      </c>
      <c r="AC66" s="26">
        <v>131.19999999999999</v>
      </c>
      <c r="AD66" s="26">
        <v>135.1</v>
      </c>
      <c r="AE66" s="26">
        <v>139.80000000000001</v>
      </c>
      <c r="AF66" s="26">
        <v>1782.4</v>
      </c>
      <c r="AG66" s="26">
        <v>444.7</v>
      </c>
      <c r="AH66" s="26">
        <v>286.10000000000002</v>
      </c>
      <c r="AI66" s="26">
        <v>269.60000000000002</v>
      </c>
      <c r="AJ66" s="26">
        <v>271.89999999999998</v>
      </c>
      <c r="AK66" s="26">
        <v>3482.4999999999995</v>
      </c>
    </row>
    <row r="67" spans="1:37" x14ac:dyDescent="0.25">
      <c r="A67" t="s">
        <v>31</v>
      </c>
      <c r="B67">
        <v>2018</v>
      </c>
      <c r="C67" t="s">
        <v>40</v>
      </c>
      <c r="D67" s="25">
        <v>43252</v>
      </c>
      <c r="E67" s="26">
        <v>137.6</v>
      </c>
      <c r="F67" s="26">
        <v>148.1</v>
      </c>
      <c r="G67" s="26">
        <v>136.69999999999999</v>
      </c>
      <c r="H67" s="26">
        <v>143.19999999999999</v>
      </c>
      <c r="I67" s="26">
        <v>124</v>
      </c>
      <c r="J67" s="26">
        <v>154.1</v>
      </c>
      <c r="K67" s="26">
        <v>143.5</v>
      </c>
      <c r="L67" s="26">
        <v>126</v>
      </c>
      <c r="M67" s="26">
        <v>112.4</v>
      </c>
      <c r="N67" s="26">
        <v>137.6</v>
      </c>
      <c r="O67" s="26">
        <v>132.80000000000001</v>
      </c>
      <c r="P67" s="26">
        <v>154.30000000000001</v>
      </c>
      <c r="Q67" s="26">
        <v>140</v>
      </c>
      <c r="R67" s="26">
        <v>157.30000000000001</v>
      </c>
      <c r="S67" s="26">
        <v>151.30000000000001</v>
      </c>
      <c r="T67" s="26">
        <v>144.69999999999999</v>
      </c>
      <c r="U67" s="26">
        <v>150.30000000000001</v>
      </c>
      <c r="V67" s="26" t="s">
        <v>33</v>
      </c>
      <c r="W67" s="26">
        <v>145.1</v>
      </c>
      <c r="X67" s="26">
        <v>142.19999999999999</v>
      </c>
      <c r="Y67" s="26">
        <v>138.4</v>
      </c>
      <c r="Z67" s="26">
        <v>127.4</v>
      </c>
      <c r="AA67" s="26">
        <v>137.80000000000001</v>
      </c>
      <c r="AB67" s="26">
        <v>145.1</v>
      </c>
      <c r="AC67" s="26">
        <v>131.4</v>
      </c>
      <c r="AD67" s="26">
        <v>135.6</v>
      </c>
      <c r="AE67" s="26">
        <v>140.5</v>
      </c>
      <c r="AF67" s="26">
        <v>1790.2999999999997</v>
      </c>
      <c r="AG67" s="26">
        <v>446.3</v>
      </c>
      <c r="AH67" s="26">
        <v>287.29999999999995</v>
      </c>
      <c r="AI67" s="26">
        <v>269.8</v>
      </c>
      <c r="AJ67" s="26">
        <v>273.39999999999998</v>
      </c>
      <c r="AK67" s="26">
        <v>3496.9</v>
      </c>
    </row>
    <row r="68" spans="1:37" x14ac:dyDescent="0.25">
      <c r="A68" t="s">
        <v>31</v>
      </c>
      <c r="B68">
        <v>2018</v>
      </c>
      <c r="C68" t="s">
        <v>41</v>
      </c>
      <c r="D68" s="25">
        <v>43282</v>
      </c>
      <c r="E68" s="26">
        <v>138.4</v>
      </c>
      <c r="F68" s="26">
        <v>149.30000000000001</v>
      </c>
      <c r="G68" s="26">
        <v>139.30000000000001</v>
      </c>
      <c r="H68" s="26">
        <v>143.4</v>
      </c>
      <c r="I68" s="26">
        <v>124.1</v>
      </c>
      <c r="J68" s="26">
        <v>153.30000000000001</v>
      </c>
      <c r="K68" s="26">
        <v>154.19999999999999</v>
      </c>
      <c r="L68" s="26">
        <v>126.4</v>
      </c>
      <c r="M68" s="26">
        <v>114.3</v>
      </c>
      <c r="N68" s="26">
        <v>138.19999999999999</v>
      </c>
      <c r="O68" s="26">
        <v>132.80000000000001</v>
      </c>
      <c r="P68" s="26">
        <v>154.80000000000001</v>
      </c>
      <c r="Q68" s="26">
        <v>142</v>
      </c>
      <c r="R68" s="26">
        <v>156.1</v>
      </c>
      <c r="S68" s="26">
        <v>151.5</v>
      </c>
      <c r="T68" s="26">
        <v>145.1</v>
      </c>
      <c r="U68" s="26">
        <v>150.6</v>
      </c>
      <c r="V68" s="26" t="s">
        <v>33</v>
      </c>
      <c r="W68" s="26">
        <v>146.80000000000001</v>
      </c>
      <c r="X68" s="26">
        <v>143.1</v>
      </c>
      <c r="Y68" s="26">
        <v>139</v>
      </c>
      <c r="Z68" s="26">
        <v>127.5</v>
      </c>
      <c r="AA68" s="26">
        <v>138.4</v>
      </c>
      <c r="AB68" s="26">
        <v>145.80000000000001</v>
      </c>
      <c r="AC68" s="26">
        <v>131.4</v>
      </c>
      <c r="AD68" s="26">
        <v>136</v>
      </c>
      <c r="AE68" s="26">
        <v>141.80000000000001</v>
      </c>
      <c r="AF68" s="26">
        <v>1810.5000000000002</v>
      </c>
      <c r="AG68" s="26">
        <v>447.20000000000005</v>
      </c>
      <c r="AH68" s="26">
        <v>289.89999999999998</v>
      </c>
      <c r="AI68" s="26">
        <v>270.39999999999998</v>
      </c>
      <c r="AJ68" s="26">
        <v>274.39999999999998</v>
      </c>
      <c r="AK68" s="26">
        <v>3521.8000000000006</v>
      </c>
    </row>
    <row r="69" spans="1:37" x14ac:dyDescent="0.25">
      <c r="A69" t="s">
        <v>31</v>
      </c>
      <c r="B69">
        <v>2018</v>
      </c>
      <c r="C69" t="s">
        <v>42</v>
      </c>
      <c r="D69" s="25">
        <v>43313</v>
      </c>
      <c r="E69" s="26">
        <v>139.19999999999999</v>
      </c>
      <c r="F69" s="26">
        <v>148.80000000000001</v>
      </c>
      <c r="G69" s="26">
        <v>139.1</v>
      </c>
      <c r="H69" s="26">
        <v>143.5</v>
      </c>
      <c r="I69" s="26">
        <v>125</v>
      </c>
      <c r="J69" s="26">
        <v>154.4</v>
      </c>
      <c r="K69" s="26">
        <v>156.30000000000001</v>
      </c>
      <c r="L69" s="26">
        <v>126.8</v>
      </c>
      <c r="M69" s="26">
        <v>115.4</v>
      </c>
      <c r="N69" s="26">
        <v>138.6</v>
      </c>
      <c r="O69" s="26">
        <v>133.80000000000001</v>
      </c>
      <c r="P69" s="26">
        <v>155.19999999999999</v>
      </c>
      <c r="Q69" s="26">
        <v>142.69999999999999</v>
      </c>
      <c r="R69" s="26">
        <v>156.4</v>
      </c>
      <c r="S69" s="26">
        <v>152.1</v>
      </c>
      <c r="T69" s="26">
        <v>145.80000000000001</v>
      </c>
      <c r="U69" s="26">
        <v>151.30000000000001</v>
      </c>
      <c r="V69" s="26" t="s">
        <v>33</v>
      </c>
      <c r="W69" s="26">
        <v>147.69999999999999</v>
      </c>
      <c r="X69" s="26">
        <v>143.80000000000001</v>
      </c>
      <c r="Y69" s="26">
        <v>139.4</v>
      </c>
      <c r="Z69" s="26">
        <v>128.30000000000001</v>
      </c>
      <c r="AA69" s="26">
        <v>138.6</v>
      </c>
      <c r="AB69" s="26">
        <v>146.9</v>
      </c>
      <c r="AC69" s="26">
        <v>131.30000000000001</v>
      </c>
      <c r="AD69" s="26">
        <v>136.6</v>
      </c>
      <c r="AE69" s="26">
        <v>142.5</v>
      </c>
      <c r="AF69" s="26">
        <v>1818.8</v>
      </c>
      <c r="AG69" s="26">
        <v>449.2</v>
      </c>
      <c r="AH69" s="26">
        <v>291.5</v>
      </c>
      <c r="AI69" s="26">
        <v>270.70000000000005</v>
      </c>
      <c r="AJ69" s="26">
        <v>275.2</v>
      </c>
      <c r="AK69" s="26">
        <v>3537</v>
      </c>
    </row>
    <row r="70" spans="1:37" x14ac:dyDescent="0.25">
      <c r="A70" t="s">
        <v>31</v>
      </c>
      <c r="B70">
        <v>2018</v>
      </c>
      <c r="C70" t="s">
        <v>43</v>
      </c>
      <c r="D70" s="25">
        <v>43344</v>
      </c>
      <c r="E70" s="26">
        <v>139.4</v>
      </c>
      <c r="F70" s="26">
        <v>147.19999999999999</v>
      </c>
      <c r="G70" s="26">
        <v>136.6</v>
      </c>
      <c r="H70" s="26">
        <v>143.69999999999999</v>
      </c>
      <c r="I70" s="26">
        <v>124.6</v>
      </c>
      <c r="J70" s="26">
        <v>150.1</v>
      </c>
      <c r="K70" s="26">
        <v>149.4</v>
      </c>
      <c r="L70" s="26">
        <v>125.4</v>
      </c>
      <c r="M70" s="26">
        <v>114.4</v>
      </c>
      <c r="N70" s="26">
        <v>138.69999999999999</v>
      </c>
      <c r="O70" s="26">
        <v>133.1</v>
      </c>
      <c r="P70" s="26">
        <v>155.9</v>
      </c>
      <c r="Q70" s="26">
        <v>141.30000000000001</v>
      </c>
      <c r="R70" s="26">
        <v>157.69999999999999</v>
      </c>
      <c r="S70" s="26">
        <v>152.1</v>
      </c>
      <c r="T70" s="26">
        <v>146.1</v>
      </c>
      <c r="U70" s="26">
        <v>151.30000000000001</v>
      </c>
      <c r="V70" s="26" t="s">
        <v>33</v>
      </c>
      <c r="W70" s="26">
        <v>149</v>
      </c>
      <c r="X70" s="26">
        <v>144</v>
      </c>
      <c r="Y70" s="26">
        <v>140</v>
      </c>
      <c r="Z70" s="26">
        <v>129.9</v>
      </c>
      <c r="AA70" s="26">
        <v>140</v>
      </c>
      <c r="AB70" s="26">
        <v>147.6</v>
      </c>
      <c r="AC70" s="26">
        <v>132</v>
      </c>
      <c r="AD70" s="26">
        <v>137.4</v>
      </c>
      <c r="AE70" s="26">
        <v>142.1</v>
      </c>
      <c r="AF70" s="26">
        <v>1799.8000000000002</v>
      </c>
      <c r="AG70" s="26">
        <v>449.5</v>
      </c>
      <c r="AH70" s="26">
        <v>293</v>
      </c>
      <c r="AI70" s="26">
        <v>272</v>
      </c>
      <c r="AJ70" s="26">
        <v>277.39999999999998</v>
      </c>
      <c r="AK70" s="26">
        <v>3526.9</v>
      </c>
    </row>
    <row r="71" spans="1:37" x14ac:dyDescent="0.25">
      <c r="A71" t="s">
        <v>31</v>
      </c>
      <c r="B71">
        <v>2018</v>
      </c>
      <c r="C71" t="s">
        <v>44</v>
      </c>
      <c r="D71" s="25">
        <v>43374</v>
      </c>
      <c r="E71" s="26">
        <v>139.30000000000001</v>
      </c>
      <c r="F71" s="26">
        <v>147.6</v>
      </c>
      <c r="G71" s="26">
        <v>134.6</v>
      </c>
      <c r="H71" s="26">
        <v>141.9</v>
      </c>
      <c r="I71" s="26">
        <v>123.5</v>
      </c>
      <c r="J71" s="26">
        <v>144.5</v>
      </c>
      <c r="K71" s="26">
        <v>147.6</v>
      </c>
      <c r="L71" s="26">
        <v>121.4</v>
      </c>
      <c r="M71" s="26">
        <v>112.3</v>
      </c>
      <c r="N71" s="26">
        <v>139.5</v>
      </c>
      <c r="O71" s="26">
        <v>134.6</v>
      </c>
      <c r="P71" s="26">
        <v>155.19999999999999</v>
      </c>
      <c r="Q71" s="26">
        <v>140.19999999999999</v>
      </c>
      <c r="R71" s="26">
        <v>159.6</v>
      </c>
      <c r="S71" s="26">
        <v>150.69999999999999</v>
      </c>
      <c r="T71" s="26">
        <v>144.5</v>
      </c>
      <c r="U71" s="26">
        <v>149.80000000000001</v>
      </c>
      <c r="V71" s="26" t="s">
        <v>33</v>
      </c>
      <c r="W71" s="26">
        <v>149.69999999999999</v>
      </c>
      <c r="X71" s="26">
        <v>147.5</v>
      </c>
      <c r="Y71" s="26">
        <v>144.80000000000001</v>
      </c>
      <c r="Z71" s="26">
        <v>130.80000000000001</v>
      </c>
      <c r="AA71" s="26">
        <v>140.1</v>
      </c>
      <c r="AB71" s="26">
        <v>148</v>
      </c>
      <c r="AC71" s="26">
        <v>134.4</v>
      </c>
      <c r="AD71" s="26">
        <v>139.80000000000001</v>
      </c>
      <c r="AE71" s="26">
        <v>142.19999999999999</v>
      </c>
      <c r="AF71" s="26">
        <v>1782.2</v>
      </c>
      <c r="AG71" s="26">
        <v>445</v>
      </c>
      <c r="AH71" s="26">
        <v>297.2</v>
      </c>
      <c r="AI71" s="26">
        <v>279.20000000000005</v>
      </c>
      <c r="AJ71" s="26">
        <v>279.89999999999998</v>
      </c>
      <c r="AK71" s="26">
        <v>3521.9</v>
      </c>
    </row>
    <row r="72" spans="1:37" x14ac:dyDescent="0.25">
      <c r="A72" t="s">
        <v>31</v>
      </c>
      <c r="B72">
        <v>2018</v>
      </c>
      <c r="C72" t="s">
        <v>46</v>
      </c>
      <c r="D72" s="25">
        <v>43405</v>
      </c>
      <c r="E72" s="26">
        <v>137.1</v>
      </c>
      <c r="F72" s="26">
        <v>150.80000000000001</v>
      </c>
      <c r="G72" s="26">
        <v>136.69999999999999</v>
      </c>
      <c r="H72" s="26">
        <v>141.9</v>
      </c>
      <c r="I72" s="26">
        <v>122.8</v>
      </c>
      <c r="J72" s="26">
        <v>143.9</v>
      </c>
      <c r="K72" s="26">
        <v>147.5</v>
      </c>
      <c r="L72" s="26">
        <v>121</v>
      </c>
      <c r="M72" s="26">
        <v>111.6</v>
      </c>
      <c r="N72" s="26">
        <v>140.6</v>
      </c>
      <c r="O72" s="26">
        <v>137.5</v>
      </c>
      <c r="P72" s="26">
        <v>156.1</v>
      </c>
      <c r="Q72" s="26">
        <v>140</v>
      </c>
      <c r="R72" s="26">
        <v>161.9</v>
      </c>
      <c r="S72" s="26">
        <v>151.69999999999999</v>
      </c>
      <c r="T72" s="26">
        <v>145.5</v>
      </c>
      <c r="U72" s="26">
        <v>150.80000000000001</v>
      </c>
      <c r="V72" s="26" t="s">
        <v>33</v>
      </c>
      <c r="W72" s="26">
        <v>150.30000000000001</v>
      </c>
      <c r="X72" s="26">
        <v>148</v>
      </c>
      <c r="Y72" s="26">
        <v>145.4</v>
      </c>
      <c r="Z72" s="26">
        <v>130.30000000000001</v>
      </c>
      <c r="AA72" s="26">
        <v>143.1</v>
      </c>
      <c r="AB72" s="26">
        <v>150.19999999999999</v>
      </c>
      <c r="AC72" s="26">
        <v>133.1</v>
      </c>
      <c r="AD72" s="26">
        <v>140.1</v>
      </c>
      <c r="AE72" s="26">
        <v>142.4</v>
      </c>
      <c r="AF72" s="26">
        <v>1787.4999999999995</v>
      </c>
      <c r="AG72" s="26">
        <v>448</v>
      </c>
      <c r="AH72" s="26">
        <v>298.3</v>
      </c>
      <c r="AI72" s="26">
        <v>278.5</v>
      </c>
      <c r="AJ72" s="26">
        <v>283.2</v>
      </c>
      <c r="AK72" s="26">
        <v>3537.8999999999996</v>
      </c>
    </row>
    <row r="73" spans="1:37" x14ac:dyDescent="0.25">
      <c r="A73" t="s">
        <v>31</v>
      </c>
      <c r="B73">
        <v>2018</v>
      </c>
      <c r="C73" t="s">
        <v>47</v>
      </c>
      <c r="D73" s="25">
        <v>43435</v>
      </c>
      <c r="E73" s="26">
        <v>137.1</v>
      </c>
      <c r="F73" s="26">
        <v>151.9</v>
      </c>
      <c r="G73" s="26">
        <v>137.4</v>
      </c>
      <c r="H73" s="26">
        <v>142.4</v>
      </c>
      <c r="I73" s="26">
        <v>124.2</v>
      </c>
      <c r="J73" s="26">
        <v>140.19999999999999</v>
      </c>
      <c r="K73" s="26">
        <v>136.6</v>
      </c>
      <c r="L73" s="26">
        <v>120.9</v>
      </c>
      <c r="M73" s="26">
        <v>109.9</v>
      </c>
      <c r="N73" s="26">
        <v>140.19999999999999</v>
      </c>
      <c r="O73" s="26">
        <v>137.80000000000001</v>
      </c>
      <c r="P73" s="26">
        <v>156</v>
      </c>
      <c r="Q73" s="26">
        <v>138.5</v>
      </c>
      <c r="R73" s="26">
        <v>162.4</v>
      </c>
      <c r="S73" s="26">
        <v>151.6</v>
      </c>
      <c r="T73" s="26">
        <v>145.9</v>
      </c>
      <c r="U73" s="26">
        <v>150.80000000000001</v>
      </c>
      <c r="V73" s="26" t="s">
        <v>33</v>
      </c>
      <c r="W73" s="26">
        <v>149</v>
      </c>
      <c r="X73" s="26">
        <v>149.5</v>
      </c>
      <c r="Y73" s="26">
        <v>149.6</v>
      </c>
      <c r="Z73" s="26">
        <v>128.9</v>
      </c>
      <c r="AA73" s="26">
        <v>143.30000000000001</v>
      </c>
      <c r="AB73" s="26">
        <v>155.1</v>
      </c>
      <c r="AC73" s="26">
        <v>133.19999999999999</v>
      </c>
      <c r="AD73" s="26">
        <v>141.6</v>
      </c>
      <c r="AE73" s="26">
        <v>141.9</v>
      </c>
      <c r="AF73" s="26">
        <v>1773.1000000000001</v>
      </c>
      <c r="AG73" s="26">
        <v>448.3</v>
      </c>
      <c r="AH73" s="26">
        <v>298.5</v>
      </c>
      <c r="AI73" s="26">
        <v>282.79999999999995</v>
      </c>
      <c r="AJ73" s="26">
        <v>284.89999999999998</v>
      </c>
      <c r="AK73" s="26">
        <v>3534.0000000000005</v>
      </c>
    </row>
    <row r="74" spans="1:37" x14ac:dyDescent="0.25">
      <c r="A74" t="s">
        <v>31</v>
      </c>
      <c r="B74">
        <v>2019</v>
      </c>
      <c r="C74" t="s">
        <v>32</v>
      </c>
      <c r="D74" s="25">
        <v>43466</v>
      </c>
      <c r="E74" s="26">
        <v>136.6</v>
      </c>
      <c r="F74" s="26">
        <v>152.5</v>
      </c>
      <c r="G74" s="26">
        <v>138.19999999999999</v>
      </c>
      <c r="H74" s="26">
        <v>142.4</v>
      </c>
      <c r="I74" s="26">
        <v>123.9</v>
      </c>
      <c r="J74" s="26">
        <v>135.5</v>
      </c>
      <c r="K74" s="26">
        <v>131.69999999999999</v>
      </c>
      <c r="L74" s="26">
        <v>121.3</v>
      </c>
      <c r="M74" s="26">
        <v>108.4</v>
      </c>
      <c r="N74" s="26">
        <v>138.9</v>
      </c>
      <c r="O74" s="26">
        <v>137</v>
      </c>
      <c r="P74" s="26">
        <v>155.80000000000001</v>
      </c>
      <c r="Q74" s="26">
        <v>137.4</v>
      </c>
      <c r="R74" s="26">
        <v>162.69999999999999</v>
      </c>
      <c r="S74" s="26">
        <v>150.6</v>
      </c>
      <c r="T74" s="26">
        <v>145.1</v>
      </c>
      <c r="U74" s="26">
        <v>149.9</v>
      </c>
      <c r="V74" s="26" t="s">
        <v>33</v>
      </c>
      <c r="W74" s="26">
        <v>146.19999999999999</v>
      </c>
      <c r="X74" s="26">
        <v>150.1</v>
      </c>
      <c r="Y74" s="26">
        <v>149.6</v>
      </c>
      <c r="Z74" s="26">
        <v>128.6</v>
      </c>
      <c r="AA74" s="26">
        <v>142.9</v>
      </c>
      <c r="AB74" s="26">
        <v>155.19999999999999</v>
      </c>
      <c r="AC74" s="26">
        <v>133.5</v>
      </c>
      <c r="AD74" s="26">
        <v>141.69999999999999</v>
      </c>
      <c r="AE74" s="26">
        <v>141</v>
      </c>
      <c r="AF74" s="26">
        <v>1759.6000000000001</v>
      </c>
      <c r="AG74" s="26">
        <v>445.6</v>
      </c>
      <c r="AH74" s="26">
        <v>296.29999999999995</v>
      </c>
      <c r="AI74" s="26">
        <v>283.10000000000002</v>
      </c>
      <c r="AJ74" s="26">
        <v>284.60000000000002</v>
      </c>
      <c r="AK74" s="26">
        <v>3515.7</v>
      </c>
    </row>
    <row r="75" spans="1:37" x14ac:dyDescent="0.25">
      <c r="A75" t="s">
        <v>31</v>
      </c>
      <c r="B75">
        <v>2019</v>
      </c>
      <c r="C75" t="s">
        <v>36</v>
      </c>
      <c r="D75" s="25">
        <v>43497</v>
      </c>
      <c r="E75" s="26">
        <v>136.80000000000001</v>
      </c>
      <c r="F75" s="26">
        <v>153</v>
      </c>
      <c r="G75" s="26">
        <v>139.1</v>
      </c>
      <c r="H75" s="26">
        <v>142.5</v>
      </c>
      <c r="I75" s="26">
        <v>124.1</v>
      </c>
      <c r="J75" s="26">
        <v>135.80000000000001</v>
      </c>
      <c r="K75" s="26">
        <v>128.69999999999999</v>
      </c>
      <c r="L75" s="26">
        <v>121.5</v>
      </c>
      <c r="M75" s="26">
        <v>108.3</v>
      </c>
      <c r="N75" s="26">
        <v>139.19999999999999</v>
      </c>
      <c r="O75" s="26">
        <v>137.4</v>
      </c>
      <c r="P75" s="26">
        <v>156.19999999999999</v>
      </c>
      <c r="Q75" s="26">
        <v>137.19999999999999</v>
      </c>
      <c r="R75" s="26">
        <v>162.80000000000001</v>
      </c>
      <c r="S75" s="26">
        <v>150.5</v>
      </c>
      <c r="T75" s="26">
        <v>146.1</v>
      </c>
      <c r="U75" s="26">
        <v>149.9</v>
      </c>
      <c r="V75" s="26" t="s">
        <v>33</v>
      </c>
      <c r="W75" s="26">
        <v>145.30000000000001</v>
      </c>
      <c r="X75" s="26">
        <v>150.1</v>
      </c>
      <c r="Y75" s="26">
        <v>149.9</v>
      </c>
      <c r="Z75" s="26">
        <v>129.19999999999999</v>
      </c>
      <c r="AA75" s="26">
        <v>143.4</v>
      </c>
      <c r="AB75" s="26">
        <v>155.5</v>
      </c>
      <c r="AC75" s="26">
        <v>134.9</v>
      </c>
      <c r="AD75" s="26">
        <v>142.19999999999999</v>
      </c>
      <c r="AE75" s="26">
        <v>141</v>
      </c>
      <c r="AF75" s="26">
        <v>1759.8000000000002</v>
      </c>
      <c r="AG75" s="26">
        <v>446.5</v>
      </c>
      <c r="AH75" s="26">
        <v>295.39999999999998</v>
      </c>
      <c r="AI75" s="26">
        <v>284.8</v>
      </c>
      <c r="AJ75" s="26">
        <v>285.60000000000002</v>
      </c>
      <c r="AK75" s="26">
        <v>3519.6000000000004</v>
      </c>
    </row>
    <row r="76" spans="1:37" x14ac:dyDescent="0.25">
      <c r="A76" t="s">
        <v>31</v>
      </c>
      <c r="B76">
        <v>2019</v>
      </c>
      <c r="C76" t="s">
        <v>37</v>
      </c>
      <c r="D76" s="25">
        <v>43525</v>
      </c>
      <c r="E76" s="26">
        <v>136.9</v>
      </c>
      <c r="F76" s="26">
        <v>154.1</v>
      </c>
      <c r="G76" s="26">
        <v>138.69999999999999</v>
      </c>
      <c r="H76" s="26">
        <v>142.5</v>
      </c>
      <c r="I76" s="26">
        <v>124.1</v>
      </c>
      <c r="J76" s="26">
        <v>136.1</v>
      </c>
      <c r="K76" s="26">
        <v>128.19999999999999</v>
      </c>
      <c r="L76" s="26">
        <v>122.3</v>
      </c>
      <c r="M76" s="26">
        <v>108.3</v>
      </c>
      <c r="N76" s="26">
        <v>138.9</v>
      </c>
      <c r="O76" s="26">
        <v>137.4</v>
      </c>
      <c r="P76" s="26">
        <v>156.4</v>
      </c>
      <c r="Q76" s="26">
        <v>137.30000000000001</v>
      </c>
      <c r="R76" s="26">
        <v>162.9</v>
      </c>
      <c r="S76" s="26">
        <v>150.80000000000001</v>
      </c>
      <c r="T76" s="26">
        <v>146.1</v>
      </c>
      <c r="U76" s="26">
        <v>150.1</v>
      </c>
      <c r="V76" s="26" t="s">
        <v>33</v>
      </c>
      <c r="W76" s="26">
        <v>146.4</v>
      </c>
      <c r="X76" s="26">
        <v>150</v>
      </c>
      <c r="Y76" s="26">
        <v>150.4</v>
      </c>
      <c r="Z76" s="26">
        <v>129.9</v>
      </c>
      <c r="AA76" s="26">
        <v>143.80000000000001</v>
      </c>
      <c r="AB76" s="26">
        <v>155.5</v>
      </c>
      <c r="AC76" s="26">
        <v>134</v>
      </c>
      <c r="AD76" s="26">
        <v>142.4</v>
      </c>
      <c r="AE76" s="26">
        <v>141.19999999999999</v>
      </c>
      <c r="AF76" s="26">
        <v>1761.2000000000003</v>
      </c>
      <c r="AG76" s="26">
        <v>447</v>
      </c>
      <c r="AH76" s="26">
        <v>296.39999999999998</v>
      </c>
      <c r="AI76" s="26">
        <v>284.39999999999998</v>
      </c>
      <c r="AJ76" s="26">
        <v>286.20000000000005</v>
      </c>
      <c r="AK76" s="26">
        <v>3523.5000000000009</v>
      </c>
    </row>
    <row r="77" spans="1:37" x14ac:dyDescent="0.25">
      <c r="A77" t="s">
        <v>31</v>
      </c>
      <c r="B77">
        <v>2019</v>
      </c>
      <c r="C77" t="s">
        <v>38</v>
      </c>
      <c r="D77" s="25">
        <v>43556</v>
      </c>
      <c r="E77" s="26">
        <f t="shared" ref="E77:AH77" si="0">AVERAGE(E74:E76)</f>
        <v>136.76666666666665</v>
      </c>
      <c r="F77" s="26">
        <f t="shared" si="0"/>
        <v>153.20000000000002</v>
      </c>
      <c r="G77" s="26">
        <f t="shared" si="0"/>
        <v>138.66666666666666</v>
      </c>
      <c r="H77" s="26">
        <f t="shared" si="0"/>
        <v>142.46666666666667</v>
      </c>
      <c r="I77" s="26">
        <f t="shared" si="0"/>
        <v>124.03333333333335</v>
      </c>
      <c r="J77" s="26">
        <f t="shared" si="0"/>
        <v>135.79999999999998</v>
      </c>
      <c r="K77" s="26">
        <f t="shared" si="0"/>
        <v>129.53333333333333</v>
      </c>
      <c r="L77" s="26">
        <f t="shared" si="0"/>
        <v>121.7</v>
      </c>
      <c r="M77" s="26">
        <f t="shared" si="0"/>
        <v>108.33333333333333</v>
      </c>
      <c r="N77" s="26">
        <f t="shared" si="0"/>
        <v>139</v>
      </c>
      <c r="O77" s="26">
        <f t="shared" si="0"/>
        <v>137.26666666666665</v>
      </c>
      <c r="P77" s="26">
        <f t="shared" si="0"/>
        <v>156.13333333333333</v>
      </c>
      <c r="Q77" s="26">
        <f t="shared" si="0"/>
        <v>137.30000000000001</v>
      </c>
      <c r="R77" s="26">
        <f t="shared" si="0"/>
        <v>162.79999999999998</v>
      </c>
      <c r="S77" s="26">
        <f t="shared" si="0"/>
        <v>150.63333333333335</v>
      </c>
      <c r="T77" s="26">
        <f t="shared" si="0"/>
        <v>145.76666666666665</v>
      </c>
      <c r="U77" s="26">
        <f t="shared" si="0"/>
        <v>149.96666666666667</v>
      </c>
      <c r="V77" s="26" t="s">
        <v>33</v>
      </c>
      <c r="W77" s="26">
        <f t="shared" si="0"/>
        <v>145.96666666666667</v>
      </c>
      <c r="X77" s="26">
        <f t="shared" si="0"/>
        <v>150.06666666666666</v>
      </c>
      <c r="Y77" s="26">
        <f t="shared" si="0"/>
        <v>149.96666666666667</v>
      </c>
      <c r="Z77" s="26">
        <f t="shared" si="0"/>
        <v>129.23333333333332</v>
      </c>
      <c r="AA77" s="26">
        <f t="shared" si="0"/>
        <v>143.36666666666667</v>
      </c>
      <c r="AB77" s="26">
        <f t="shared" si="0"/>
        <v>155.4</v>
      </c>
      <c r="AC77" s="26">
        <f t="shared" si="0"/>
        <v>134.13333333333333</v>
      </c>
      <c r="AD77" s="26">
        <f t="shared" si="0"/>
        <v>142.1</v>
      </c>
      <c r="AE77" s="26">
        <f t="shared" si="0"/>
        <v>141.06666666666666</v>
      </c>
      <c r="AF77" s="26">
        <f t="shared" si="0"/>
        <v>1760.2</v>
      </c>
      <c r="AG77" s="26">
        <f t="shared" si="0"/>
        <v>446.36666666666662</v>
      </c>
      <c r="AH77" s="26">
        <f t="shared" si="0"/>
        <v>296.0333333333333</v>
      </c>
      <c r="AI77" s="26">
        <v>284.10000000000002</v>
      </c>
      <c r="AJ77" s="26">
        <v>285.4666666666667</v>
      </c>
      <c r="AK77" s="26">
        <v>3519.6</v>
      </c>
    </row>
    <row r="78" spans="1:37" x14ac:dyDescent="0.25">
      <c r="A78" t="s">
        <v>31</v>
      </c>
      <c r="B78">
        <v>2019</v>
      </c>
      <c r="C78" t="s">
        <v>39</v>
      </c>
      <c r="D78" s="25">
        <v>43586</v>
      </c>
      <c r="E78" s="26">
        <v>137.4</v>
      </c>
      <c r="F78" s="26">
        <v>159.5</v>
      </c>
      <c r="G78" s="26">
        <v>134.5</v>
      </c>
      <c r="H78" s="26">
        <v>142.6</v>
      </c>
      <c r="I78" s="26">
        <v>124</v>
      </c>
      <c r="J78" s="26">
        <v>143.69999999999999</v>
      </c>
      <c r="K78" s="26">
        <v>133.4</v>
      </c>
      <c r="L78" s="26">
        <v>125.1</v>
      </c>
      <c r="M78" s="26">
        <v>109.3</v>
      </c>
      <c r="N78" s="26">
        <v>139.30000000000001</v>
      </c>
      <c r="O78" s="26">
        <v>137.69999999999999</v>
      </c>
      <c r="P78" s="26">
        <v>156.4</v>
      </c>
      <c r="Q78" s="26">
        <v>139.19999999999999</v>
      </c>
      <c r="R78" s="26">
        <v>163.30000000000001</v>
      </c>
      <c r="S78" s="26">
        <v>151.30000000000001</v>
      </c>
      <c r="T78" s="26">
        <v>146.6</v>
      </c>
      <c r="U78" s="26">
        <v>150.69999999999999</v>
      </c>
      <c r="V78" s="26" t="s">
        <v>33</v>
      </c>
      <c r="W78" s="26">
        <v>146.9</v>
      </c>
      <c r="X78" s="26">
        <v>149.5</v>
      </c>
      <c r="Y78" s="26">
        <v>151.30000000000001</v>
      </c>
      <c r="Z78" s="26">
        <v>130.19999999999999</v>
      </c>
      <c r="AA78" s="26">
        <v>145.9</v>
      </c>
      <c r="AB78" s="26">
        <v>156.69999999999999</v>
      </c>
      <c r="AC78" s="26">
        <v>133.9</v>
      </c>
      <c r="AD78" s="26">
        <v>142.9</v>
      </c>
      <c r="AE78" s="26">
        <v>142.4</v>
      </c>
      <c r="AF78" s="26">
        <v>1782.1000000000001</v>
      </c>
      <c r="AG78" s="26">
        <v>448.59999999999997</v>
      </c>
      <c r="AH78" s="26">
        <v>296.39999999999998</v>
      </c>
      <c r="AI78" s="26">
        <v>285.20000000000005</v>
      </c>
      <c r="AJ78" s="26">
        <v>288.8</v>
      </c>
      <c r="AK78" s="26">
        <v>3551.3</v>
      </c>
    </row>
    <row r="79" spans="1:37" x14ac:dyDescent="0.25">
      <c r="A79" t="s">
        <v>31</v>
      </c>
      <c r="B79">
        <v>2019</v>
      </c>
      <c r="C79" t="s">
        <v>40</v>
      </c>
      <c r="D79" s="25">
        <v>43617</v>
      </c>
      <c r="E79" s="26">
        <v>137.80000000000001</v>
      </c>
      <c r="F79" s="26">
        <v>163.5</v>
      </c>
      <c r="G79" s="26">
        <v>136.19999999999999</v>
      </c>
      <c r="H79" s="26">
        <v>143.19999999999999</v>
      </c>
      <c r="I79" s="26">
        <v>124.3</v>
      </c>
      <c r="J79" s="26">
        <v>143.30000000000001</v>
      </c>
      <c r="K79" s="26">
        <v>140.6</v>
      </c>
      <c r="L79" s="26">
        <v>128.69999999999999</v>
      </c>
      <c r="M79" s="26">
        <v>110.6</v>
      </c>
      <c r="N79" s="26">
        <v>140.4</v>
      </c>
      <c r="O79" s="26">
        <v>138</v>
      </c>
      <c r="P79" s="26">
        <v>156.6</v>
      </c>
      <c r="Q79" s="26">
        <v>141</v>
      </c>
      <c r="R79" s="26">
        <v>164.2</v>
      </c>
      <c r="S79" s="26">
        <v>151.4</v>
      </c>
      <c r="T79" s="26">
        <v>146.5</v>
      </c>
      <c r="U79" s="26">
        <v>150.69999999999999</v>
      </c>
      <c r="V79" s="26" t="s">
        <v>33</v>
      </c>
      <c r="W79" s="26">
        <v>147.80000000000001</v>
      </c>
      <c r="X79" s="26">
        <v>149.6</v>
      </c>
      <c r="Y79" s="26">
        <v>151.69999999999999</v>
      </c>
      <c r="Z79" s="26">
        <v>130.19999999999999</v>
      </c>
      <c r="AA79" s="26">
        <v>146.4</v>
      </c>
      <c r="AB79" s="26">
        <v>157.69999999999999</v>
      </c>
      <c r="AC79" s="26">
        <v>134.80000000000001</v>
      </c>
      <c r="AD79" s="26">
        <v>143.30000000000001</v>
      </c>
      <c r="AE79" s="26">
        <v>143.6</v>
      </c>
      <c r="AF79" s="26">
        <v>1804.1999999999998</v>
      </c>
      <c r="AG79" s="26">
        <v>448.59999999999997</v>
      </c>
      <c r="AH79" s="26">
        <v>297.39999999999998</v>
      </c>
      <c r="AI79" s="26">
        <v>286.5</v>
      </c>
      <c r="AJ79" s="26">
        <v>289.70000000000005</v>
      </c>
      <c r="AK79" s="26">
        <v>3578.5</v>
      </c>
    </row>
    <row r="80" spans="1:37" x14ac:dyDescent="0.25">
      <c r="A80" t="s">
        <v>31</v>
      </c>
      <c r="B80">
        <v>2019</v>
      </c>
      <c r="C80" t="s">
        <v>41</v>
      </c>
      <c r="D80" s="25">
        <v>43647</v>
      </c>
      <c r="E80" s="26">
        <v>138.4</v>
      </c>
      <c r="F80" s="26">
        <v>164</v>
      </c>
      <c r="G80" s="26">
        <v>138.4</v>
      </c>
      <c r="H80" s="26">
        <v>143.9</v>
      </c>
      <c r="I80" s="26">
        <v>124.4</v>
      </c>
      <c r="J80" s="26">
        <v>146.4</v>
      </c>
      <c r="K80" s="26">
        <v>150.1</v>
      </c>
      <c r="L80" s="26">
        <v>130.6</v>
      </c>
      <c r="M80" s="26">
        <v>110.8</v>
      </c>
      <c r="N80" s="26">
        <v>141.69999999999999</v>
      </c>
      <c r="O80" s="26">
        <v>138.5</v>
      </c>
      <c r="P80" s="26">
        <v>156.69999999999999</v>
      </c>
      <c r="Q80" s="26">
        <v>143</v>
      </c>
      <c r="R80" s="26">
        <v>164.5</v>
      </c>
      <c r="S80" s="26">
        <v>151.6</v>
      </c>
      <c r="T80" s="26">
        <v>146.6</v>
      </c>
      <c r="U80" s="26">
        <v>150.9</v>
      </c>
      <c r="V80" s="26" t="s">
        <v>33</v>
      </c>
      <c r="W80" s="26">
        <v>146.80000000000001</v>
      </c>
      <c r="X80" s="26">
        <v>150</v>
      </c>
      <c r="Y80" s="26">
        <v>152.19999999999999</v>
      </c>
      <c r="Z80" s="26">
        <v>131.19999999999999</v>
      </c>
      <c r="AA80" s="26">
        <v>147.5</v>
      </c>
      <c r="AB80" s="26">
        <v>159.1</v>
      </c>
      <c r="AC80" s="26">
        <v>136.1</v>
      </c>
      <c r="AD80" s="26">
        <v>144.19999999999999</v>
      </c>
      <c r="AE80" s="26">
        <v>144.9</v>
      </c>
      <c r="AF80" s="26">
        <v>1826.8999999999999</v>
      </c>
      <c r="AG80" s="26">
        <v>449.1</v>
      </c>
      <c r="AH80" s="26">
        <v>296.8</v>
      </c>
      <c r="AI80" s="26">
        <v>288.29999999999995</v>
      </c>
      <c r="AJ80" s="26">
        <v>291.7</v>
      </c>
      <c r="AK80" s="26">
        <v>3607.5999999999995</v>
      </c>
    </row>
    <row r="81" spans="1:37" x14ac:dyDescent="0.25">
      <c r="A81" t="s">
        <v>31</v>
      </c>
      <c r="B81">
        <v>2019</v>
      </c>
      <c r="C81" t="s">
        <v>42</v>
      </c>
      <c r="D81" s="25">
        <v>43678</v>
      </c>
      <c r="E81" s="26">
        <v>139.19999999999999</v>
      </c>
      <c r="F81" s="26">
        <v>161.9</v>
      </c>
      <c r="G81" s="26">
        <v>137.1</v>
      </c>
      <c r="H81" s="26">
        <v>144.6</v>
      </c>
      <c r="I81" s="26">
        <v>124.7</v>
      </c>
      <c r="J81" s="26">
        <v>145.5</v>
      </c>
      <c r="K81" s="26">
        <v>156.19999999999999</v>
      </c>
      <c r="L81" s="26">
        <v>131.5</v>
      </c>
      <c r="M81" s="26">
        <v>111.7</v>
      </c>
      <c r="N81" s="26">
        <v>142.69999999999999</v>
      </c>
      <c r="O81" s="26">
        <v>138.5</v>
      </c>
      <c r="P81" s="26">
        <v>156.9</v>
      </c>
      <c r="Q81" s="26">
        <v>144</v>
      </c>
      <c r="R81" s="26">
        <v>165.1</v>
      </c>
      <c r="S81" s="26">
        <v>151.80000000000001</v>
      </c>
      <c r="T81" s="26">
        <v>146.6</v>
      </c>
      <c r="U81" s="26">
        <v>151.1</v>
      </c>
      <c r="V81" s="26" t="s">
        <v>33</v>
      </c>
      <c r="W81" s="26">
        <v>146.4</v>
      </c>
      <c r="X81" s="26">
        <v>150.19999999999999</v>
      </c>
      <c r="Y81" s="26">
        <v>152.69999999999999</v>
      </c>
      <c r="Z81" s="26">
        <v>131.4</v>
      </c>
      <c r="AA81" s="26">
        <v>148</v>
      </c>
      <c r="AB81" s="26">
        <v>159.69999999999999</v>
      </c>
      <c r="AC81" s="26">
        <v>138.80000000000001</v>
      </c>
      <c r="AD81" s="26">
        <v>144.9</v>
      </c>
      <c r="AE81" s="26">
        <v>145.69999999999999</v>
      </c>
      <c r="AF81" s="26">
        <v>1834.5000000000002</v>
      </c>
      <c r="AG81" s="26">
        <v>449.5</v>
      </c>
      <c r="AH81" s="26">
        <v>296.60000000000002</v>
      </c>
      <c r="AI81" s="26">
        <v>291.5</v>
      </c>
      <c r="AJ81" s="26">
        <v>292.89999999999998</v>
      </c>
      <c r="AK81" s="26">
        <v>3621.2000000000003</v>
      </c>
    </row>
    <row r="82" spans="1:37" x14ac:dyDescent="0.25">
      <c r="A82" t="s">
        <v>31</v>
      </c>
      <c r="B82">
        <v>2019</v>
      </c>
      <c r="C82" t="s">
        <v>43</v>
      </c>
      <c r="D82" s="25">
        <v>43709</v>
      </c>
      <c r="E82" s="26">
        <v>140.1</v>
      </c>
      <c r="F82" s="26">
        <v>161.9</v>
      </c>
      <c r="G82" s="26">
        <v>138.30000000000001</v>
      </c>
      <c r="H82" s="26">
        <v>145.69999999999999</v>
      </c>
      <c r="I82" s="26">
        <v>125.1</v>
      </c>
      <c r="J82" s="26">
        <v>143.80000000000001</v>
      </c>
      <c r="K82" s="26">
        <v>163.4</v>
      </c>
      <c r="L82" s="26">
        <v>132.19999999999999</v>
      </c>
      <c r="M82" s="26">
        <v>112.8</v>
      </c>
      <c r="N82" s="26">
        <v>144.19999999999999</v>
      </c>
      <c r="O82" s="26">
        <v>138.5</v>
      </c>
      <c r="P82" s="26">
        <v>157.19999999999999</v>
      </c>
      <c r="Q82" s="26">
        <v>145.5</v>
      </c>
      <c r="R82" s="26">
        <v>165.7</v>
      </c>
      <c r="S82" s="26">
        <v>151.69999999999999</v>
      </c>
      <c r="T82" s="26">
        <v>146.6</v>
      </c>
      <c r="U82" s="26">
        <v>151</v>
      </c>
      <c r="V82" s="26" t="s">
        <v>33</v>
      </c>
      <c r="W82" s="26">
        <v>146.9</v>
      </c>
      <c r="X82" s="26">
        <v>150.30000000000001</v>
      </c>
      <c r="Y82" s="26">
        <v>153.4</v>
      </c>
      <c r="Z82" s="26">
        <v>131.6</v>
      </c>
      <c r="AA82" s="26">
        <v>148.30000000000001</v>
      </c>
      <c r="AB82" s="26">
        <v>160.19999999999999</v>
      </c>
      <c r="AC82" s="26">
        <v>140.19999999999999</v>
      </c>
      <c r="AD82" s="26">
        <v>145.4</v>
      </c>
      <c r="AE82" s="26">
        <v>146.69999999999999</v>
      </c>
      <c r="AF82" s="26">
        <v>1848.7</v>
      </c>
      <c r="AG82" s="26">
        <v>449.29999999999995</v>
      </c>
      <c r="AH82" s="26">
        <v>297.20000000000005</v>
      </c>
      <c r="AI82" s="26">
        <v>293.60000000000002</v>
      </c>
      <c r="AJ82" s="26">
        <v>293.70000000000005</v>
      </c>
      <c r="AK82" s="26">
        <v>3640</v>
      </c>
    </row>
    <row r="83" spans="1:37" x14ac:dyDescent="0.25">
      <c r="A83" t="s">
        <v>31</v>
      </c>
      <c r="B83">
        <v>2019</v>
      </c>
      <c r="C83" t="s">
        <v>44</v>
      </c>
      <c r="D83" s="25">
        <v>43739</v>
      </c>
      <c r="E83" s="26">
        <v>141</v>
      </c>
      <c r="F83" s="26">
        <v>161.6</v>
      </c>
      <c r="G83" s="26">
        <v>141.19999999999999</v>
      </c>
      <c r="H83" s="26">
        <v>146.5</v>
      </c>
      <c r="I83" s="26">
        <v>125.6</v>
      </c>
      <c r="J83" s="26">
        <v>145.69999999999999</v>
      </c>
      <c r="K83" s="26">
        <v>178.8</v>
      </c>
      <c r="L83" s="26">
        <v>133.1</v>
      </c>
      <c r="M83" s="26">
        <v>113.6</v>
      </c>
      <c r="N83" s="26">
        <v>145.5</v>
      </c>
      <c r="O83" s="26">
        <v>138.6</v>
      </c>
      <c r="P83" s="26">
        <v>157.4</v>
      </c>
      <c r="Q83" s="26">
        <v>148.30000000000001</v>
      </c>
      <c r="R83" s="26">
        <v>166.3</v>
      </c>
      <c r="S83" s="26">
        <v>151.69999999999999</v>
      </c>
      <c r="T83" s="26">
        <v>146.69999999999999</v>
      </c>
      <c r="U83" s="26">
        <v>151</v>
      </c>
      <c r="V83" s="26" t="s">
        <v>33</v>
      </c>
      <c r="W83" s="26">
        <v>147.69999999999999</v>
      </c>
      <c r="X83" s="26">
        <v>150.6</v>
      </c>
      <c r="Y83" s="26">
        <v>153.69999999999999</v>
      </c>
      <c r="Z83" s="26">
        <v>131.69999999999999</v>
      </c>
      <c r="AA83" s="26">
        <v>148.69999999999999</v>
      </c>
      <c r="AB83" s="26">
        <v>160.69999999999999</v>
      </c>
      <c r="AC83" s="26">
        <v>140.30000000000001</v>
      </c>
      <c r="AD83" s="26">
        <v>145.69999999999999</v>
      </c>
      <c r="AE83" s="26">
        <v>148.30000000000001</v>
      </c>
      <c r="AF83" s="26">
        <v>1876.8999999999996</v>
      </c>
      <c r="AG83" s="26">
        <v>449.4</v>
      </c>
      <c r="AH83" s="26">
        <v>298.29999999999995</v>
      </c>
      <c r="AI83" s="26">
        <v>294</v>
      </c>
      <c r="AJ83" s="26">
        <v>294.39999999999998</v>
      </c>
      <c r="AK83" s="26">
        <v>3671.6999999999994</v>
      </c>
    </row>
    <row r="84" spans="1:37" x14ac:dyDescent="0.25">
      <c r="A84" t="s">
        <v>31</v>
      </c>
      <c r="B84">
        <v>2019</v>
      </c>
      <c r="C84" t="s">
        <v>46</v>
      </c>
      <c r="D84" s="25">
        <v>43770</v>
      </c>
      <c r="E84" s="26">
        <v>141.80000000000001</v>
      </c>
      <c r="F84" s="26">
        <v>163.69999999999999</v>
      </c>
      <c r="G84" s="26">
        <v>143.80000000000001</v>
      </c>
      <c r="H84" s="26">
        <v>147.1</v>
      </c>
      <c r="I84" s="26">
        <v>126</v>
      </c>
      <c r="J84" s="26">
        <v>146.19999999999999</v>
      </c>
      <c r="K84" s="26">
        <v>191.4</v>
      </c>
      <c r="L84" s="26">
        <v>136.19999999999999</v>
      </c>
      <c r="M84" s="26">
        <v>113.8</v>
      </c>
      <c r="N84" s="26">
        <v>147.30000000000001</v>
      </c>
      <c r="O84" s="26">
        <v>138.69999999999999</v>
      </c>
      <c r="P84" s="26">
        <v>157.69999999999999</v>
      </c>
      <c r="Q84" s="26">
        <v>150.9</v>
      </c>
      <c r="R84" s="26">
        <v>167.2</v>
      </c>
      <c r="S84" s="26">
        <v>152.30000000000001</v>
      </c>
      <c r="T84" s="26">
        <v>147</v>
      </c>
      <c r="U84" s="26">
        <v>151.5</v>
      </c>
      <c r="V84" s="26" t="s">
        <v>33</v>
      </c>
      <c r="W84" s="26">
        <v>148.4</v>
      </c>
      <c r="X84" s="26">
        <v>150.9</v>
      </c>
      <c r="Y84" s="26">
        <v>154.30000000000001</v>
      </c>
      <c r="Z84" s="26">
        <v>132.1</v>
      </c>
      <c r="AA84" s="26">
        <v>149.1</v>
      </c>
      <c r="AB84" s="26">
        <v>160.80000000000001</v>
      </c>
      <c r="AC84" s="26">
        <v>140.6</v>
      </c>
      <c r="AD84" s="26">
        <v>146.1</v>
      </c>
      <c r="AE84" s="26">
        <v>149.9</v>
      </c>
      <c r="AF84" s="26">
        <v>1904.6000000000001</v>
      </c>
      <c r="AG84" s="26">
        <v>450.8</v>
      </c>
      <c r="AH84" s="26">
        <v>299.3</v>
      </c>
      <c r="AI84" s="26">
        <v>294.89999999999998</v>
      </c>
      <c r="AJ84" s="26">
        <v>295.2</v>
      </c>
      <c r="AK84" s="26">
        <v>3704.9000000000005</v>
      </c>
    </row>
    <row r="85" spans="1:37" x14ac:dyDescent="0.25">
      <c r="A85" t="s">
        <v>31</v>
      </c>
      <c r="B85">
        <v>2019</v>
      </c>
      <c r="C85" t="s">
        <v>47</v>
      </c>
      <c r="D85" s="25">
        <v>43800</v>
      </c>
      <c r="E85" s="26">
        <v>142.80000000000001</v>
      </c>
      <c r="F85" s="26">
        <v>165.3</v>
      </c>
      <c r="G85" s="26">
        <v>149.5</v>
      </c>
      <c r="H85" s="26">
        <v>148.69999999999999</v>
      </c>
      <c r="I85" s="26">
        <v>127.5</v>
      </c>
      <c r="J85" s="26">
        <v>144.30000000000001</v>
      </c>
      <c r="K85" s="26">
        <v>209.5</v>
      </c>
      <c r="L85" s="26">
        <v>138.80000000000001</v>
      </c>
      <c r="M85" s="26">
        <v>113.6</v>
      </c>
      <c r="N85" s="26">
        <v>149.1</v>
      </c>
      <c r="O85" s="26">
        <v>139.30000000000001</v>
      </c>
      <c r="P85" s="26">
        <v>158.30000000000001</v>
      </c>
      <c r="Q85" s="26">
        <v>154.30000000000001</v>
      </c>
      <c r="R85" s="26">
        <v>167.8</v>
      </c>
      <c r="S85" s="26">
        <v>152.6</v>
      </c>
      <c r="T85" s="26">
        <v>147.30000000000001</v>
      </c>
      <c r="U85" s="26">
        <v>151.9</v>
      </c>
      <c r="V85" s="26" t="s">
        <v>33</v>
      </c>
      <c r="W85" s="26">
        <v>149.9</v>
      </c>
      <c r="X85" s="26">
        <v>151.19999999999999</v>
      </c>
      <c r="Y85" s="26">
        <v>154.80000000000001</v>
      </c>
      <c r="Z85" s="26">
        <v>135</v>
      </c>
      <c r="AA85" s="26">
        <v>149.5</v>
      </c>
      <c r="AB85" s="26">
        <v>161.1</v>
      </c>
      <c r="AC85" s="26">
        <v>140.6</v>
      </c>
      <c r="AD85" s="26">
        <v>147.1</v>
      </c>
      <c r="AE85" s="26">
        <v>152.30000000000001</v>
      </c>
      <c r="AF85" s="26">
        <v>1940.9999999999995</v>
      </c>
      <c r="AG85" s="26">
        <v>451.79999999999995</v>
      </c>
      <c r="AH85" s="26">
        <v>301.10000000000002</v>
      </c>
      <c r="AI85" s="26">
        <v>295.39999999999998</v>
      </c>
      <c r="AJ85" s="26">
        <v>296.60000000000002</v>
      </c>
      <c r="AK85" s="26">
        <v>3749.7999999999997</v>
      </c>
    </row>
    <row r="86" spans="1:37" x14ac:dyDescent="0.25">
      <c r="A86" t="s">
        <v>31</v>
      </c>
      <c r="B86">
        <v>2020</v>
      </c>
      <c r="C86" t="s">
        <v>32</v>
      </c>
      <c r="D86" s="25">
        <v>43831</v>
      </c>
      <c r="E86" s="26">
        <v>143.69999999999999</v>
      </c>
      <c r="F86" s="26">
        <v>167.3</v>
      </c>
      <c r="G86" s="26">
        <v>153.5</v>
      </c>
      <c r="H86" s="26">
        <v>150.5</v>
      </c>
      <c r="I86" s="26">
        <v>132</v>
      </c>
      <c r="J86" s="26">
        <v>142.19999999999999</v>
      </c>
      <c r="K86" s="26">
        <v>191.5</v>
      </c>
      <c r="L86" s="26">
        <v>141.1</v>
      </c>
      <c r="M86" s="26">
        <v>113.8</v>
      </c>
      <c r="N86" s="26">
        <v>151.6</v>
      </c>
      <c r="O86" s="26">
        <v>139.69999999999999</v>
      </c>
      <c r="P86" s="26">
        <v>158.69999999999999</v>
      </c>
      <c r="Q86" s="26">
        <v>153</v>
      </c>
      <c r="R86" s="26">
        <v>168.6</v>
      </c>
      <c r="S86" s="26">
        <v>152.80000000000001</v>
      </c>
      <c r="T86" s="26">
        <v>147.4</v>
      </c>
      <c r="U86" s="26">
        <v>152.1</v>
      </c>
      <c r="V86" s="26" t="s">
        <v>33</v>
      </c>
      <c r="W86" s="26">
        <v>150.4</v>
      </c>
      <c r="X86" s="26">
        <v>151.69999999999999</v>
      </c>
      <c r="Y86" s="26">
        <v>155.69999999999999</v>
      </c>
      <c r="Z86" s="26">
        <v>136.30000000000001</v>
      </c>
      <c r="AA86" s="26">
        <v>150.1</v>
      </c>
      <c r="AB86" s="26">
        <v>161.69999999999999</v>
      </c>
      <c r="AC86" s="26">
        <v>142.5</v>
      </c>
      <c r="AD86" s="26">
        <v>148.1</v>
      </c>
      <c r="AE86" s="26">
        <v>151.9</v>
      </c>
      <c r="AF86" s="26">
        <v>1938.6</v>
      </c>
      <c r="AG86" s="26">
        <v>452.30000000000007</v>
      </c>
      <c r="AH86" s="26">
        <v>302.10000000000002</v>
      </c>
      <c r="AI86" s="26">
        <v>298.2</v>
      </c>
      <c r="AJ86" s="26">
        <v>298.2</v>
      </c>
      <c r="AK86" s="26">
        <v>3755.9999999999995</v>
      </c>
    </row>
    <row r="87" spans="1:37" x14ac:dyDescent="0.25">
      <c r="A87" t="s">
        <v>31</v>
      </c>
      <c r="B87">
        <v>2020</v>
      </c>
      <c r="C87" t="s">
        <v>36</v>
      </c>
      <c r="D87" s="25">
        <v>43862</v>
      </c>
      <c r="E87" s="26">
        <v>144.19999999999999</v>
      </c>
      <c r="F87" s="26">
        <v>167.5</v>
      </c>
      <c r="G87" s="26">
        <v>150.9</v>
      </c>
      <c r="H87" s="26">
        <v>150.9</v>
      </c>
      <c r="I87" s="26">
        <v>133.69999999999999</v>
      </c>
      <c r="J87" s="26">
        <v>140.69999999999999</v>
      </c>
      <c r="K87" s="26">
        <v>165.1</v>
      </c>
      <c r="L87" s="26">
        <v>141.80000000000001</v>
      </c>
      <c r="M87" s="26">
        <v>113.1</v>
      </c>
      <c r="N87" s="26">
        <v>152.80000000000001</v>
      </c>
      <c r="O87" s="26">
        <v>140.1</v>
      </c>
      <c r="P87" s="26">
        <v>159.19999999999999</v>
      </c>
      <c r="Q87" s="26">
        <v>149.80000000000001</v>
      </c>
      <c r="R87" s="26">
        <v>169.4</v>
      </c>
      <c r="S87" s="26">
        <v>153</v>
      </c>
      <c r="T87" s="26">
        <v>147.5</v>
      </c>
      <c r="U87" s="26">
        <v>152.30000000000001</v>
      </c>
      <c r="V87" s="26" t="s">
        <v>33</v>
      </c>
      <c r="W87" s="26">
        <v>152.30000000000001</v>
      </c>
      <c r="X87" s="26">
        <v>151.80000000000001</v>
      </c>
      <c r="Y87" s="26">
        <v>156.19999999999999</v>
      </c>
      <c r="Z87" s="26">
        <v>136</v>
      </c>
      <c r="AA87" s="26">
        <v>150.4</v>
      </c>
      <c r="AB87" s="26">
        <v>161.9</v>
      </c>
      <c r="AC87" s="26">
        <v>143.4</v>
      </c>
      <c r="AD87" s="26">
        <v>148.4</v>
      </c>
      <c r="AE87" s="26">
        <v>150.4</v>
      </c>
      <c r="AF87" s="26">
        <v>1909.7999999999997</v>
      </c>
      <c r="AG87" s="26">
        <v>452.8</v>
      </c>
      <c r="AH87" s="26">
        <v>304.10000000000002</v>
      </c>
      <c r="AI87" s="26">
        <v>299.60000000000002</v>
      </c>
      <c r="AJ87" s="26">
        <v>298.8</v>
      </c>
      <c r="AK87" s="26">
        <v>3732.3999999999996</v>
      </c>
    </row>
    <row r="88" spans="1:37" x14ac:dyDescent="0.25">
      <c r="A88" t="s">
        <v>31</v>
      </c>
      <c r="B88">
        <v>2020</v>
      </c>
      <c r="C88" t="s">
        <v>37</v>
      </c>
      <c r="D88" s="25">
        <v>43891</v>
      </c>
      <c r="E88" s="26">
        <v>144.4</v>
      </c>
      <c r="F88" s="26">
        <v>166.8</v>
      </c>
      <c r="G88" s="26">
        <v>147.6</v>
      </c>
      <c r="H88" s="26">
        <v>151.69999999999999</v>
      </c>
      <c r="I88" s="26">
        <v>133.30000000000001</v>
      </c>
      <c r="J88" s="26">
        <v>141.80000000000001</v>
      </c>
      <c r="K88" s="26">
        <v>152.30000000000001</v>
      </c>
      <c r="L88" s="26">
        <v>141.80000000000001</v>
      </c>
      <c r="M88" s="26">
        <v>112.6</v>
      </c>
      <c r="N88" s="26">
        <v>154</v>
      </c>
      <c r="O88" s="26">
        <v>140.1</v>
      </c>
      <c r="P88" s="26">
        <v>160</v>
      </c>
      <c r="Q88" s="26">
        <v>148.19999999999999</v>
      </c>
      <c r="R88" s="26">
        <v>170.5</v>
      </c>
      <c r="S88" s="26">
        <v>153.4</v>
      </c>
      <c r="T88" s="26">
        <v>147.6</v>
      </c>
      <c r="U88" s="26">
        <v>152.5</v>
      </c>
      <c r="V88" s="26" t="s">
        <v>33</v>
      </c>
      <c r="W88" s="26">
        <v>153.4</v>
      </c>
      <c r="X88" s="26">
        <v>151.5</v>
      </c>
      <c r="Y88" s="26">
        <v>156.69999999999999</v>
      </c>
      <c r="Z88" s="26">
        <v>135.80000000000001</v>
      </c>
      <c r="AA88" s="26">
        <v>151.19999999999999</v>
      </c>
      <c r="AB88" s="26">
        <v>161.19999999999999</v>
      </c>
      <c r="AC88" s="26">
        <v>145.1</v>
      </c>
      <c r="AD88" s="26">
        <v>148.6</v>
      </c>
      <c r="AE88" s="26">
        <v>149.80000000000001</v>
      </c>
      <c r="AF88" s="26">
        <v>1894.5999999999997</v>
      </c>
      <c r="AG88" s="26">
        <v>453.5</v>
      </c>
      <c r="AH88" s="26">
        <v>304.89999999999998</v>
      </c>
      <c r="AI88" s="26">
        <v>301.79999999999995</v>
      </c>
      <c r="AJ88" s="26">
        <v>299.79999999999995</v>
      </c>
      <c r="AK88" s="26">
        <v>3722.0999999999995</v>
      </c>
    </row>
    <row r="89" spans="1:37" x14ac:dyDescent="0.25">
      <c r="A89" t="s">
        <v>31</v>
      </c>
      <c r="B89">
        <v>2020</v>
      </c>
      <c r="C89" t="s">
        <v>38</v>
      </c>
      <c r="D89" s="25">
        <v>43922</v>
      </c>
      <c r="E89" s="26">
        <v>147.19999999999999</v>
      </c>
      <c r="F89" s="26">
        <f>AVERAGE(F86:F88)</f>
        <v>167.20000000000002</v>
      </c>
      <c r="G89" s="26">
        <v>146.9</v>
      </c>
      <c r="H89" s="26">
        <v>155.6</v>
      </c>
      <c r="I89" s="26">
        <v>137.1</v>
      </c>
      <c r="J89" s="26">
        <v>147.30000000000001</v>
      </c>
      <c r="K89" s="26">
        <v>162.69999999999999</v>
      </c>
      <c r="L89" s="26">
        <v>150.19999999999999</v>
      </c>
      <c r="M89" s="26">
        <v>119.8</v>
      </c>
      <c r="N89" s="26">
        <v>158.69999999999999</v>
      </c>
      <c r="O89" s="26">
        <v>139.19999999999999</v>
      </c>
      <c r="P89" s="26">
        <f>AVERAGE(P86:P88)</f>
        <v>159.29999999999998</v>
      </c>
      <c r="Q89" s="26">
        <v>150.1</v>
      </c>
      <c r="R89" s="26">
        <f t="shared" ref="R89:U90" si="1">AVERAGE(R86:R88)</f>
        <v>169.5</v>
      </c>
      <c r="S89" s="26">
        <f t="shared" si="1"/>
        <v>153.06666666666669</v>
      </c>
      <c r="T89" s="26">
        <f t="shared" si="1"/>
        <v>147.5</v>
      </c>
      <c r="U89" s="26">
        <f t="shared" si="1"/>
        <v>152.29999999999998</v>
      </c>
      <c r="V89" s="26" t="s">
        <v>33</v>
      </c>
      <c r="W89" s="26">
        <v>148.4</v>
      </c>
      <c r="X89" s="26">
        <f>AVERAGE(X86:X88)</f>
        <v>151.66666666666666</v>
      </c>
      <c r="Y89" s="26">
        <v>154.30000000000001</v>
      </c>
      <c r="Z89" s="26">
        <f t="shared" ref="Z89:AE90" si="2">AVERAGE(Z86:Z88)</f>
        <v>136.03333333333333</v>
      </c>
      <c r="AA89" s="26">
        <f t="shared" si="2"/>
        <v>150.56666666666666</v>
      </c>
      <c r="AB89" s="26">
        <f t="shared" si="2"/>
        <v>161.6</v>
      </c>
      <c r="AC89" s="26">
        <f t="shared" si="2"/>
        <v>143.66666666666666</v>
      </c>
      <c r="AD89" s="26">
        <f t="shared" si="2"/>
        <v>148.36666666666667</v>
      </c>
      <c r="AE89" s="26">
        <f t="shared" si="2"/>
        <v>150.70000000000002</v>
      </c>
      <c r="AF89" s="26">
        <v>1614.8000000000002</v>
      </c>
      <c r="AG89" s="26">
        <v>0</v>
      </c>
      <c r="AH89" s="26">
        <v>148.4</v>
      </c>
      <c r="AI89" s="26">
        <v>297.9666666666667</v>
      </c>
      <c r="AJ89" s="26">
        <v>298.93333333333334</v>
      </c>
      <c r="AK89" s="26">
        <v>2529.2666666666669</v>
      </c>
    </row>
    <row r="90" spans="1:37" x14ac:dyDescent="0.25">
      <c r="A90" t="s">
        <v>31</v>
      </c>
      <c r="B90">
        <v>2020</v>
      </c>
      <c r="C90" t="s">
        <v>39</v>
      </c>
      <c r="D90" s="25">
        <v>43952</v>
      </c>
      <c r="E90" s="26">
        <f>AVERAGE(E87:E89)</f>
        <v>145.26666666666668</v>
      </c>
      <c r="F90" s="26">
        <f>AVERAGE(F87:F89)</f>
        <v>167.16666666666666</v>
      </c>
      <c r="G90" s="26">
        <f t="shared" ref="G90:O90" si="3">AVERAGE(G87:G89)</f>
        <v>148.46666666666667</v>
      </c>
      <c r="H90" s="26">
        <f t="shared" si="3"/>
        <v>152.73333333333335</v>
      </c>
      <c r="I90" s="26">
        <f t="shared" si="3"/>
        <v>134.70000000000002</v>
      </c>
      <c r="J90" s="26">
        <f t="shared" si="3"/>
        <v>143.26666666666668</v>
      </c>
      <c r="K90" s="26">
        <f t="shared" si="3"/>
        <v>160.03333333333333</v>
      </c>
      <c r="L90" s="26">
        <f t="shared" si="3"/>
        <v>144.6</v>
      </c>
      <c r="M90" s="26">
        <f t="shared" si="3"/>
        <v>115.16666666666667</v>
      </c>
      <c r="N90" s="26">
        <f t="shared" si="3"/>
        <v>155.16666666666666</v>
      </c>
      <c r="O90" s="26">
        <f t="shared" si="3"/>
        <v>139.79999999999998</v>
      </c>
      <c r="P90" s="26">
        <f>AVERAGE(P87:P89)</f>
        <v>159.5</v>
      </c>
      <c r="Q90" s="26">
        <f>AVERAGE(Q87:Q89)</f>
        <v>149.36666666666667</v>
      </c>
      <c r="R90" s="26">
        <f t="shared" si="1"/>
        <v>169.79999999999998</v>
      </c>
      <c r="S90" s="26">
        <f t="shared" si="1"/>
        <v>153.15555555555557</v>
      </c>
      <c r="T90" s="26">
        <f t="shared" si="1"/>
        <v>147.53333333333333</v>
      </c>
      <c r="U90" s="26">
        <f t="shared" si="1"/>
        <v>152.36666666666667</v>
      </c>
      <c r="V90" s="26" t="s">
        <v>33</v>
      </c>
      <c r="W90" s="26">
        <f>AVERAGE(W87:W89)</f>
        <v>151.36666666666667</v>
      </c>
      <c r="X90" s="26">
        <f>AVERAGE(X87:X89)</f>
        <v>151.65555555555557</v>
      </c>
      <c r="Y90" s="26">
        <f>AVERAGE(Y87:Y89)</f>
        <v>155.73333333333332</v>
      </c>
      <c r="Z90" s="26">
        <f t="shared" si="2"/>
        <v>135.94444444444446</v>
      </c>
      <c r="AA90" s="26">
        <f t="shared" si="2"/>
        <v>150.72222222222223</v>
      </c>
      <c r="AB90" s="26">
        <f t="shared" si="2"/>
        <v>161.56666666666669</v>
      </c>
      <c r="AC90" s="26">
        <f t="shared" si="2"/>
        <v>144.05555555555554</v>
      </c>
      <c r="AD90" s="26">
        <f t="shared" si="2"/>
        <v>148.45555555555555</v>
      </c>
      <c r="AE90" s="26">
        <f t="shared" si="2"/>
        <v>150.30000000000004</v>
      </c>
      <c r="AF90" s="26">
        <v>0</v>
      </c>
      <c r="AG90" s="26">
        <v>0</v>
      </c>
      <c r="AH90" s="26">
        <v>0</v>
      </c>
      <c r="AI90" s="26">
        <v>299.78888888888889</v>
      </c>
      <c r="AJ90" s="26">
        <v>299.17777777777781</v>
      </c>
      <c r="AK90" s="26">
        <v>766.48888888888894</v>
      </c>
    </row>
    <row r="91" spans="1:37" x14ac:dyDescent="0.25">
      <c r="A91" t="s">
        <v>31</v>
      </c>
      <c r="B91">
        <v>2020</v>
      </c>
      <c r="C91" t="s">
        <v>40</v>
      </c>
      <c r="D91" s="25">
        <v>43983</v>
      </c>
      <c r="E91" s="26">
        <v>148.19999999999999</v>
      </c>
      <c r="F91" s="26">
        <v>190.3</v>
      </c>
      <c r="G91" s="26">
        <v>149.4</v>
      </c>
      <c r="H91" s="26">
        <v>153.30000000000001</v>
      </c>
      <c r="I91" s="26">
        <v>138.19999999999999</v>
      </c>
      <c r="J91" s="26">
        <v>143.19999999999999</v>
      </c>
      <c r="K91" s="26">
        <v>148.9</v>
      </c>
      <c r="L91" s="26">
        <v>150.30000000000001</v>
      </c>
      <c r="M91" s="26">
        <v>113.2</v>
      </c>
      <c r="N91" s="26">
        <v>159.80000000000001</v>
      </c>
      <c r="O91" s="26">
        <v>142.1</v>
      </c>
      <c r="P91" s="26">
        <v>161.80000000000001</v>
      </c>
      <c r="Q91" s="26">
        <v>152.30000000000001</v>
      </c>
      <c r="R91" s="26">
        <v>182.4</v>
      </c>
      <c r="S91" s="26">
        <v>154.69999999999999</v>
      </c>
      <c r="T91" s="26">
        <v>150</v>
      </c>
      <c r="U91" s="26">
        <v>154.1</v>
      </c>
      <c r="V91" s="26" t="s">
        <v>33</v>
      </c>
      <c r="W91" s="26">
        <v>144.9</v>
      </c>
      <c r="X91" s="26">
        <v>151.69999999999999</v>
      </c>
      <c r="Y91" s="26">
        <v>158.19999999999999</v>
      </c>
      <c r="Z91" s="26">
        <v>141.4</v>
      </c>
      <c r="AA91" s="26">
        <v>153.19999999999999</v>
      </c>
      <c r="AB91" s="26">
        <v>161.80000000000001</v>
      </c>
      <c r="AC91" s="26">
        <v>151.19999999999999</v>
      </c>
      <c r="AD91" s="26">
        <v>151.69999999999999</v>
      </c>
      <c r="AE91" s="26">
        <v>152.69999999999999</v>
      </c>
      <c r="AF91" s="26">
        <v>1951</v>
      </c>
      <c r="AG91" s="26">
        <v>458.79999999999995</v>
      </c>
      <c r="AH91" s="26">
        <v>296.60000000000002</v>
      </c>
      <c r="AI91" s="26">
        <v>309.39999999999998</v>
      </c>
      <c r="AJ91" s="26">
        <v>304.89999999999998</v>
      </c>
      <c r="AK91" s="26">
        <v>3806.2999999999997</v>
      </c>
    </row>
    <row r="92" spans="1:37" x14ac:dyDescent="0.25">
      <c r="A92" t="s">
        <v>31</v>
      </c>
      <c r="B92">
        <v>2020</v>
      </c>
      <c r="C92" t="s">
        <v>41</v>
      </c>
      <c r="D92" s="25">
        <v>44013</v>
      </c>
      <c r="E92" s="26">
        <v>148.19999999999999</v>
      </c>
      <c r="F92" s="26">
        <v>190.3</v>
      </c>
      <c r="G92" s="26">
        <v>149.4</v>
      </c>
      <c r="H92" s="26">
        <v>153.30000000000001</v>
      </c>
      <c r="I92" s="26">
        <v>138.19999999999999</v>
      </c>
      <c r="J92" s="26">
        <v>143.19999999999999</v>
      </c>
      <c r="K92" s="26">
        <v>148.9</v>
      </c>
      <c r="L92" s="26">
        <v>150.30000000000001</v>
      </c>
      <c r="M92" s="26">
        <v>113.2</v>
      </c>
      <c r="N92" s="26">
        <v>159.80000000000001</v>
      </c>
      <c r="O92" s="26">
        <v>142.1</v>
      </c>
      <c r="P92" s="26">
        <v>161.80000000000001</v>
      </c>
      <c r="Q92" s="26">
        <v>152.30000000000001</v>
      </c>
      <c r="R92" s="26">
        <v>182.4</v>
      </c>
      <c r="S92" s="26">
        <v>154.69999999999999</v>
      </c>
      <c r="T92" s="26">
        <v>150</v>
      </c>
      <c r="U92" s="26">
        <v>154.1</v>
      </c>
      <c r="V92" s="26" t="s">
        <v>33</v>
      </c>
      <c r="W92" s="26">
        <v>144.9</v>
      </c>
      <c r="X92" s="26">
        <v>151.69999999999999</v>
      </c>
      <c r="Y92" s="26">
        <v>158.19999999999999</v>
      </c>
      <c r="Z92" s="26">
        <v>141.4</v>
      </c>
      <c r="AA92" s="26">
        <v>153.19999999999999</v>
      </c>
      <c r="AB92" s="26">
        <v>161.80000000000001</v>
      </c>
      <c r="AC92" s="26">
        <v>151.19999999999999</v>
      </c>
      <c r="AD92" s="26">
        <v>151.69999999999999</v>
      </c>
      <c r="AE92" s="26">
        <v>152.69999999999999</v>
      </c>
      <c r="AF92" s="26">
        <v>1951</v>
      </c>
      <c r="AG92" s="26">
        <v>458.79999999999995</v>
      </c>
      <c r="AH92" s="26">
        <v>296.60000000000002</v>
      </c>
      <c r="AI92" s="26">
        <v>309.39999999999998</v>
      </c>
      <c r="AJ92" s="26">
        <v>304.89999999999998</v>
      </c>
      <c r="AK92" s="26">
        <v>3806.2999999999997</v>
      </c>
    </row>
    <row r="93" spans="1:37" x14ac:dyDescent="0.25">
      <c r="A93" t="s">
        <v>31</v>
      </c>
      <c r="B93">
        <v>2020</v>
      </c>
      <c r="C93" t="s">
        <v>42</v>
      </c>
      <c r="D93" s="25">
        <v>44044</v>
      </c>
      <c r="E93" s="26">
        <v>147.6</v>
      </c>
      <c r="F93" s="26">
        <v>187.2</v>
      </c>
      <c r="G93" s="26">
        <v>148.4</v>
      </c>
      <c r="H93" s="26">
        <v>153.30000000000001</v>
      </c>
      <c r="I93" s="26">
        <v>139.80000000000001</v>
      </c>
      <c r="J93" s="26">
        <v>146.9</v>
      </c>
      <c r="K93" s="26">
        <v>171</v>
      </c>
      <c r="L93" s="26">
        <v>149.9</v>
      </c>
      <c r="M93" s="26">
        <v>114.2</v>
      </c>
      <c r="N93" s="26">
        <v>160</v>
      </c>
      <c r="O93" s="26">
        <v>143.5</v>
      </c>
      <c r="P93" s="26">
        <v>161.5</v>
      </c>
      <c r="Q93" s="26">
        <v>155.30000000000001</v>
      </c>
      <c r="R93" s="26">
        <v>180.9</v>
      </c>
      <c r="S93" s="26">
        <v>155.1</v>
      </c>
      <c r="T93" s="26">
        <v>149.30000000000001</v>
      </c>
      <c r="U93" s="26">
        <v>154.30000000000001</v>
      </c>
      <c r="V93" s="26" t="s">
        <v>33</v>
      </c>
      <c r="W93" s="26">
        <v>145.80000000000001</v>
      </c>
      <c r="X93" s="26">
        <v>151.9</v>
      </c>
      <c r="Y93" s="26">
        <v>158.80000000000001</v>
      </c>
      <c r="Z93" s="26">
        <v>143.6</v>
      </c>
      <c r="AA93" s="26">
        <v>152.19999999999999</v>
      </c>
      <c r="AB93" s="26">
        <v>162.69999999999999</v>
      </c>
      <c r="AC93" s="26">
        <v>153.6</v>
      </c>
      <c r="AD93" s="26">
        <v>153</v>
      </c>
      <c r="AE93" s="26">
        <v>154.69999999999999</v>
      </c>
      <c r="AF93" s="26">
        <v>1978.6</v>
      </c>
      <c r="AG93" s="26">
        <v>458.7</v>
      </c>
      <c r="AH93" s="26">
        <v>297.70000000000005</v>
      </c>
      <c r="AI93" s="26">
        <v>312.39999999999998</v>
      </c>
      <c r="AJ93" s="26">
        <v>305.2</v>
      </c>
      <c r="AK93" s="26">
        <v>3839.7999999999997</v>
      </c>
    </row>
    <row r="94" spans="1:37" x14ac:dyDescent="0.25">
      <c r="A94" t="s">
        <v>31</v>
      </c>
      <c r="B94">
        <v>2020</v>
      </c>
      <c r="C94" t="s">
        <v>43</v>
      </c>
      <c r="D94" s="25">
        <v>44075</v>
      </c>
      <c r="E94" s="26">
        <v>146.9</v>
      </c>
      <c r="F94" s="26">
        <v>183.9</v>
      </c>
      <c r="G94" s="26">
        <v>149.5</v>
      </c>
      <c r="H94" s="26">
        <v>153.4</v>
      </c>
      <c r="I94" s="26">
        <v>140.4</v>
      </c>
      <c r="J94" s="26">
        <v>147</v>
      </c>
      <c r="K94" s="26">
        <v>178.8</v>
      </c>
      <c r="L94" s="26">
        <v>149.30000000000001</v>
      </c>
      <c r="M94" s="26">
        <v>115.1</v>
      </c>
      <c r="N94" s="26">
        <v>160</v>
      </c>
      <c r="O94" s="26">
        <v>145.4</v>
      </c>
      <c r="P94" s="26">
        <v>161.6</v>
      </c>
      <c r="Q94" s="26">
        <v>156.1</v>
      </c>
      <c r="R94" s="26">
        <v>182.9</v>
      </c>
      <c r="S94" s="26">
        <v>155.4</v>
      </c>
      <c r="T94" s="26">
        <v>149.9</v>
      </c>
      <c r="U94" s="26">
        <v>154.6</v>
      </c>
      <c r="V94" s="26" t="s">
        <v>33</v>
      </c>
      <c r="W94" s="26">
        <v>146.4</v>
      </c>
      <c r="X94" s="26">
        <v>151.6</v>
      </c>
      <c r="Y94" s="26">
        <v>159.1</v>
      </c>
      <c r="Z94" s="26">
        <v>144.6</v>
      </c>
      <c r="AA94" s="26">
        <v>152.80000000000001</v>
      </c>
      <c r="AB94" s="26">
        <v>161.1</v>
      </c>
      <c r="AC94" s="26">
        <v>157.4</v>
      </c>
      <c r="AD94" s="26">
        <v>153.69999999999999</v>
      </c>
      <c r="AE94" s="26">
        <v>155.4</v>
      </c>
      <c r="AF94" s="26">
        <v>1987.3999999999999</v>
      </c>
      <c r="AG94" s="26">
        <v>459.9</v>
      </c>
      <c r="AH94" s="26">
        <v>298</v>
      </c>
      <c r="AI94" s="26">
        <v>316.5</v>
      </c>
      <c r="AJ94" s="26">
        <v>306.5</v>
      </c>
      <c r="AK94" s="26">
        <v>3856.9</v>
      </c>
    </row>
    <row r="95" spans="1:37" x14ac:dyDescent="0.25">
      <c r="A95" t="s">
        <v>31</v>
      </c>
      <c r="B95">
        <v>2020</v>
      </c>
      <c r="C95" t="s">
        <v>44</v>
      </c>
      <c r="D95" s="25">
        <v>44105</v>
      </c>
      <c r="E95" s="26">
        <v>146</v>
      </c>
      <c r="F95" s="26">
        <v>186.3</v>
      </c>
      <c r="G95" s="26">
        <v>159.19999999999999</v>
      </c>
      <c r="H95" s="26">
        <v>153.6</v>
      </c>
      <c r="I95" s="26">
        <v>142.6</v>
      </c>
      <c r="J95" s="26">
        <v>147.19999999999999</v>
      </c>
      <c r="K95" s="26">
        <v>200.6</v>
      </c>
      <c r="L95" s="26">
        <v>150.30000000000001</v>
      </c>
      <c r="M95" s="26">
        <v>115.3</v>
      </c>
      <c r="N95" s="26">
        <v>160.9</v>
      </c>
      <c r="O95" s="26">
        <v>147.4</v>
      </c>
      <c r="P95" s="26">
        <v>161.9</v>
      </c>
      <c r="Q95" s="26">
        <v>159.6</v>
      </c>
      <c r="R95" s="26">
        <v>182.7</v>
      </c>
      <c r="S95" s="26">
        <v>155.69999999999999</v>
      </c>
      <c r="T95" s="26">
        <v>150.6</v>
      </c>
      <c r="U95" s="26">
        <v>155</v>
      </c>
      <c r="V95" s="26" t="s">
        <v>33</v>
      </c>
      <c r="W95" s="26">
        <v>146.80000000000001</v>
      </c>
      <c r="X95" s="26">
        <v>152</v>
      </c>
      <c r="Y95" s="26">
        <v>159.5</v>
      </c>
      <c r="Z95" s="26">
        <v>146.4</v>
      </c>
      <c r="AA95" s="26">
        <v>152.4</v>
      </c>
      <c r="AB95" s="26">
        <v>162.5</v>
      </c>
      <c r="AC95" s="26">
        <v>156.19999999999999</v>
      </c>
      <c r="AD95" s="26">
        <v>154.30000000000001</v>
      </c>
      <c r="AE95" s="26">
        <v>157.5</v>
      </c>
      <c r="AF95" s="26">
        <v>2030.9</v>
      </c>
      <c r="AG95" s="26">
        <v>461.29999999999995</v>
      </c>
      <c r="AH95" s="26">
        <v>298.8</v>
      </c>
      <c r="AI95" s="26">
        <v>315.7</v>
      </c>
      <c r="AJ95" s="26">
        <v>306.70000000000005</v>
      </c>
      <c r="AK95" s="26">
        <v>3905</v>
      </c>
    </row>
    <row r="96" spans="1:37" x14ac:dyDescent="0.25">
      <c r="A96" t="s">
        <v>31</v>
      </c>
      <c r="B96">
        <v>2020</v>
      </c>
      <c r="C96" t="s">
        <v>46</v>
      </c>
      <c r="D96" s="25">
        <v>44136</v>
      </c>
      <c r="E96" s="26">
        <v>145.4</v>
      </c>
      <c r="F96" s="26">
        <v>188.6</v>
      </c>
      <c r="G96" s="26">
        <v>171.6</v>
      </c>
      <c r="H96" s="26">
        <v>153.80000000000001</v>
      </c>
      <c r="I96" s="26">
        <v>145.4</v>
      </c>
      <c r="J96" s="26">
        <v>146.5</v>
      </c>
      <c r="K96" s="26">
        <v>222.2</v>
      </c>
      <c r="L96" s="26">
        <v>155.9</v>
      </c>
      <c r="M96" s="26">
        <v>114.9</v>
      </c>
      <c r="N96" s="26">
        <v>162</v>
      </c>
      <c r="O96" s="26">
        <v>150</v>
      </c>
      <c r="P96" s="26">
        <v>162.69999999999999</v>
      </c>
      <c r="Q96" s="26">
        <v>163.4</v>
      </c>
      <c r="R96" s="26">
        <v>183.4</v>
      </c>
      <c r="S96" s="26">
        <v>156.30000000000001</v>
      </c>
      <c r="T96" s="26">
        <v>151</v>
      </c>
      <c r="U96" s="26">
        <v>155.5</v>
      </c>
      <c r="V96" s="26" t="s">
        <v>33</v>
      </c>
      <c r="W96" s="26">
        <v>147.5</v>
      </c>
      <c r="X96" s="26">
        <v>152.80000000000001</v>
      </c>
      <c r="Y96" s="26">
        <v>160.4</v>
      </c>
      <c r="Z96" s="26">
        <v>146.1</v>
      </c>
      <c r="AA96" s="26">
        <v>153.6</v>
      </c>
      <c r="AB96" s="26">
        <v>161.6</v>
      </c>
      <c r="AC96" s="26">
        <v>156.19999999999999</v>
      </c>
      <c r="AD96" s="26">
        <v>154.5</v>
      </c>
      <c r="AE96" s="26">
        <v>159.80000000000001</v>
      </c>
      <c r="AF96" s="26">
        <v>2082.4</v>
      </c>
      <c r="AG96" s="26">
        <v>462.8</v>
      </c>
      <c r="AH96" s="26">
        <v>300.3</v>
      </c>
      <c r="AI96" s="26">
        <v>316.60000000000002</v>
      </c>
      <c r="AJ96" s="26">
        <v>308.10000000000002</v>
      </c>
      <c r="AK96" s="26">
        <v>3961.3</v>
      </c>
    </row>
    <row r="97" spans="1:37" x14ac:dyDescent="0.25">
      <c r="A97" t="s">
        <v>31</v>
      </c>
      <c r="B97">
        <v>2020</v>
      </c>
      <c r="C97" t="s">
        <v>47</v>
      </c>
      <c r="D97" s="25">
        <v>44166</v>
      </c>
      <c r="E97" s="26">
        <v>144.6</v>
      </c>
      <c r="F97" s="26">
        <v>188.5</v>
      </c>
      <c r="G97" s="26">
        <v>173.4</v>
      </c>
      <c r="H97" s="26">
        <v>154</v>
      </c>
      <c r="I97" s="26">
        <v>150</v>
      </c>
      <c r="J97" s="26">
        <v>145.9</v>
      </c>
      <c r="K97" s="26">
        <v>225.2</v>
      </c>
      <c r="L97" s="26">
        <v>159.5</v>
      </c>
      <c r="M97" s="26">
        <v>114.4</v>
      </c>
      <c r="N97" s="26">
        <v>163.5</v>
      </c>
      <c r="O97" s="26">
        <v>153.4</v>
      </c>
      <c r="P97" s="26">
        <v>163.6</v>
      </c>
      <c r="Q97" s="26">
        <v>164.5</v>
      </c>
      <c r="R97" s="26">
        <v>183.6</v>
      </c>
      <c r="S97" s="26">
        <v>157</v>
      </c>
      <c r="T97" s="26">
        <v>151.6</v>
      </c>
      <c r="U97" s="26">
        <v>156.30000000000001</v>
      </c>
      <c r="V97" s="26" t="s">
        <v>33</v>
      </c>
      <c r="W97" s="26">
        <v>148.69999999999999</v>
      </c>
      <c r="X97" s="26">
        <v>153.4</v>
      </c>
      <c r="Y97" s="26">
        <v>161.6</v>
      </c>
      <c r="Z97" s="26">
        <v>146.4</v>
      </c>
      <c r="AA97" s="26">
        <v>153.9</v>
      </c>
      <c r="AB97" s="26">
        <v>162.9</v>
      </c>
      <c r="AC97" s="26">
        <v>156.6</v>
      </c>
      <c r="AD97" s="26">
        <v>155.19999999999999</v>
      </c>
      <c r="AE97" s="26">
        <v>160.69999999999999</v>
      </c>
      <c r="AF97" s="26">
        <v>2100.5</v>
      </c>
      <c r="AG97" s="26">
        <v>464.90000000000003</v>
      </c>
      <c r="AH97" s="26">
        <v>302.10000000000002</v>
      </c>
      <c r="AI97" s="26">
        <v>318.2</v>
      </c>
      <c r="AJ97" s="26">
        <v>309.10000000000002</v>
      </c>
      <c r="AK97" s="26">
        <v>3987.7</v>
      </c>
    </row>
    <row r="98" spans="1:37" x14ac:dyDescent="0.25">
      <c r="A98" t="s">
        <v>31</v>
      </c>
      <c r="B98">
        <v>2021</v>
      </c>
      <c r="C98" t="s">
        <v>32</v>
      </c>
      <c r="D98" s="25">
        <v>44197</v>
      </c>
      <c r="E98" s="26">
        <v>143.4</v>
      </c>
      <c r="F98" s="26">
        <v>187.5</v>
      </c>
      <c r="G98" s="26">
        <v>173.4</v>
      </c>
      <c r="H98" s="26">
        <v>154</v>
      </c>
      <c r="I98" s="26">
        <v>154.80000000000001</v>
      </c>
      <c r="J98" s="26">
        <v>147</v>
      </c>
      <c r="K98" s="26">
        <v>187.8</v>
      </c>
      <c r="L98" s="26">
        <v>159.5</v>
      </c>
      <c r="M98" s="26">
        <v>113.8</v>
      </c>
      <c r="N98" s="26">
        <v>164.5</v>
      </c>
      <c r="O98" s="26">
        <v>156.1</v>
      </c>
      <c r="P98" s="26">
        <v>164.3</v>
      </c>
      <c r="Q98" s="26">
        <v>159.6</v>
      </c>
      <c r="R98" s="26">
        <v>184.6</v>
      </c>
      <c r="S98" s="26">
        <v>157.5</v>
      </c>
      <c r="T98" s="26">
        <v>152.4</v>
      </c>
      <c r="U98" s="26">
        <v>156.80000000000001</v>
      </c>
      <c r="V98" s="26" t="s">
        <v>33</v>
      </c>
      <c r="W98" s="26">
        <v>150.9</v>
      </c>
      <c r="X98" s="26">
        <v>153.9</v>
      </c>
      <c r="Y98" s="26">
        <v>162.5</v>
      </c>
      <c r="Z98" s="26">
        <v>147.5</v>
      </c>
      <c r="AA98" s="26">
        <v>155.1</v>
      </c>
      <c r="AB98" s="26">
        <v>163.5</v>
      </c>
      <c r="AC98" s="26">
        <v>156.19999999999999</v>
      </c>
      <c r="AD98" s="26">
        <v>155.9</v>
      </c>
      <c r="AE98" s="26">
        <v>158.5</v>
      </c>
      <c r="AF98" s="26">
        <v>2065.6999999999998</v>
      </c>
      <c r="AG98" s="26">
        <v>466.7</v>
      </c>
      <c r="AH98" s="26">
        <v>304.8</v>
      </c>
      <c r="AI98" s="26">
        <v>318.7</v>
      </c>
      <c r="AJ98" s="26">
        <v>311</v>
      </c>
      <c r="AK98" s="26">
        <v>3962.4999999999995</v>
      </c>
    </row>
    <row r="99" spans="1:37" x14ac:dyDescent="0.25">
      <c r="A99" t="s">
        <v>31</v>
      </c>
      <c r="B99">
        <v>2021</v>
      </c>
      <c r="C99" t="s">
        <v>36</v>
      </c>
      <c r="D99" s="25">
        <v>44228</v>
      </c>
      <c r="E99" s="26">
        <v>142.80000000000001</v>
      </c>
      <c r="F99" s="26">
        <v>184</v>
      </c>
      <c r="G99" s="26">
        <v>168</v>
      </c>
      <c r="H99" s="26">
        <v>154.4</v>
      </c>
      <c r="I99" s="26">
        <v>163</v>
      </c>
      <c r="J99" s="26">
        <v>147.80000000000001</v>
      </c>
      <c r="K99" s="26">
        <v>149.69999999999999</v>
      </c>
      <c r="L99" s="26">
        <v>158.30000000000001</v>
      </c>
      <c r="M99" s="26">
        <v>111.8</v>
      </c>
      <c r="N99" s="26">
        <v>165</v>
      </c>
      <c r="O99" s="26">
        <v>160</v>
      </c>
      <c r="P99" s="26">
        <v>165.8</v>
      </c>
      <c r="Q99" s="26">
        <v>154.69999999999999</v>
      </c>
      <c r="R99" s="26">
        <v>186.5</v>
      </c>
      <c r="S99" s="26">
        <v>159.1</v>
      </c>
      <c r="T99" s="26">
        <v>153.9</v>
      </c>
      <c r="U99" s="26">
        <v>158.4</v>
      </c>
      <c r="V99" s="26" t="s">
        <v>33</v>
      </c>
      <c r="W99" s="26">
        <v>154.4</v>
      </c>
      <c r="X99" s="26">
        <v>154.80000000000001</v>
      </c>
      <c r="Y99" s="26">
        <v>164.3</v>
      </c>
      <c r="Z99" s="26">
        <v>150.19999999999999</v>
      </c>
      <c r="AA99" s="26">
        <v>157</v>
      </c>
      <c r="AB99" s="26">
        <v>163.6</v>
      </c>
      <c r="AC99" s="26">
        <v>155.19999999999999</v>
      </c>
      <c r="AD99" s="26">
        <v>157.19999999999999</v>
      </c>
      <c r="AE99" s="26">
        <v>156.69999999999999</v>
      </c>
      <c r="AF99" s="26">
        <v>2025.3</v>
      </c>
      <c r="AG99" s="26">
        <v>471.4</v>
      </c>
      <c r="AH99" s="26">
        <v>309.20000000000005</v>
      </c>
      <c r="AI99" s="26">
        <v>319.5</v>
      </c>
      <c r="AJ99" s="26">
        <v>314.2</v>
      </c>
      <c r="AK99" s="26">
        <v>3939.8999999999996</v>
      </c>
    </row>
    <row r="100" spans="1:37" x14ac:dyDescent="0.25">
      <c r="A100" t="s">
        <v>31</v>
      </c>
      <c r="B100">
        <v>2021</v>
      </c>
      <c r="C100" t="s">
        <v>37</v>
      </c>
      <c r="D100" s="25">
        <v>44256</v>
      </c>
      <c r="E100" s="26">
        <v>142.5</v>
      </c>
      <c r="F100" s="26">
        <v>189.4</v>
      </c>
      <c r="G100" s="26">
        <v>163.19999999999999</v>
      </c>
      <c r="H100" s="26">
        <v>154.5</v>
      </c>
      <c r="I100" s="26">
        <v>168.2</v>
      </c>
      <c r="J100" s="26">
        <v>150.5</v>
      </c>
      <c r="K100" s="26">
        <v>141</v>
      </c>
      <c r="L100" s="26">
        <v>159.19999999999999</v>
      </c>
      <c r="M100" s="26">
        <v>111.7</v>
      </c>
      <c r="N100" s="26">
        <v>164</v>
      </c>
      <c r="O100" s="26">
        <v>160.6</v>
      </c>
      <c r="P100" s="26">
        <v>166.4</v>
      </c>
      <c r="Q100" s="26">
        <v>154.5</v>
      </c>
      <c r="R100" s="26">
        <v>186.1</v>
      </c>
      <c r="S100" s="26">
        <v>159.6</v>
      </c>
      <c r="T100" s="26">
        <v>154.4</v>
      </c>
      <c r="U100" s="26">
        <v>158.9</v>
      </c>
      <c r="V100" s="26" t="s">
        <v>33</v>
      </c>
      <c r="W100" s="26">
        <v>156</v>
      </c>
      <c r="X100" s="26">
        <v>154.80000000000001</v>
      </c>
      <c r="Y100" s="26">
        <v>164.6</v>
      </c>
      <c r="Z100" s="26">
        <v>151.30000000000001</v>
      </c>
      <c r="AA100" s="26">
        <v>157.80000000000001</v>
      </c>
      <c r="AB100" s="26">
        <v>163.80000000000001</v>
      </c>
      <c r="AC100" s="26">
        <v>153.1</v>
      </c>
      <c r="AD100" s="26">
        <v>157.30000000000001</v>
      </c>
      <c r="AE100" s="26">
        <v>156.69999999999999</v>
      </c>
      <c r="AF100" s="26">
        <v>2025.7</v>
      </c>
      <c r="AG100" s="26">
        <v>472.9</v>
      </c>
      <c r="AH100" s="26">
        <v>310.8</v>
      </c>
      <c r="AI100" s="26">
        <v>317.7</v>
      </c>
      <c r="AJ100" s="26">
        <v>315.10000000000002</v>
      </c>
      <c r="AK100" s="26">
        <v>3943.4</v>
      </c>
    </row>
    <row r="101" spans="1:37" x14ac:dyDescent="0.25">
      <c r="A101" t="s">
        <v>31</v>
      </c>
      <c r="B101">
        <v>2021</v>
      </c>
      <c r="C101" t="s">
        <v>38</v>
      </c>
      <c r="D101" s="25">
        <v>44287</v>
      </c>
      <c r="E101" s="26">
        <v>142.69999999999999</v>
      </c>
      <c r="F101" s="26">
        <v>195.5</v>
      </c>
      <c r="G101" s="26">
        <v>163.4</v>
      </c>
      <c r="H101" s="26">
        <v>155</v>
      </c>
      <c r="I101" s="26">
        <v>175.2</v>
      </c>
      <c r="J101" s="26">
        <v>160.6</v>
      </c>
      <c r="K101" s="26">
        <v>135.1</v>
      </c>
      <c r="L101" s="26">
        <v>161.1</v>
      </c>
      <c r="M101" s="26">
        <v>112.2</v>
      </c>
      <c r="N101" s="26">
        <v>164.4</v>
      </c>
      <c r="O101" s="26">
        <v>161.9</v>
      </c>
      <c r="P101" s="26">
        <v>166.8</v>
      </c>
      <c r="Q101" s="26">
        <v>155.6</v>
      </c>
      <c r="R101" s="26">
        <v>186.8</v>
      </c>
      <c r="S101" s="26">
        <v>160.69999999999999</v>
      </c>
      <c r="T101" s="26">
        <v>155.1</v>
      </c>
      <c r="U101" s="26">
        <v>159.9</v>
      </c>
      <c r="V101" s="26" t="s">
        <v>33</v>
      </c>
      <c r="W101" s="26">
        <v>156</v>
      </c>
      <c r="X101" s="26">
        <v>155.5</v>
      </c>
      <c r="Y101" s="26">
        <v>165.3</v>
      </c>
      <c r="Z101" s="26">
        <v>151.69999999999999</v>
      </c>
      <c r="AA101" s="26">
        <v>158.6</v>
      </c>
      <c r="AB101" s="26">
        <v>164.1</v>
      </c>
      <c r="AC101" s="26">
        <v>154.6</v>
      </c>
      <c r="AD101" s="26">
        <v>158</v>
      </c>
      <c r="AE101" s="26">
        <v>157.6</v>
      </c>
      <c r="AF101" s="26">
        <v>2049.5</v>
      </c>
      <c r="AG101" s="26">
        <v>475.69999999999993</v>
      </c>
      <c r="AH101" s="26">
        <v>311.5</v>
      </c>
      <c r="AI101" s="26">
        <v>319.89999999999998</v>
      </c>
      <c r="AJ101" s="26">
        <v>316.60000000000002</v>
      </c>
      <c r="AK101" s="26">
        <v>3975.7999999999997</v>
      </c>
    </row>
    <row r="102" spans="1:37" x14ac:dyDescent="0.25">
      <c r="A102" t="s">
        <v>31</v>
      </c>
      <c r="B102">
        <v>2021</v>
      </c>
      <c r="C102" t="s">
        <v>39</v>
      </c>
      <c r="D102" s="25">
        <v>44317</v>
      </c>
      <c r="E102" s="26">
        <v>145.1</v>
      </c>
      <c r="F102" s="26">
        <v>198.5</v>
      </c>
      <c r="G102" s="26">
        <v>168.6</v>
      </c>
      <c r="H102" s="26">
        <v>155.80000000000001</v>
      </c>
      <c r="I102" s="26">
        <v>184.4</v>
      </c>
      <c r="J102" s="26">
        <v>162.30000000000001</v>
      </c>
      <c r="K102" s="26">
        <v>138.4</v>
      </c>
      <c r="L102" s="26">
        <v>165.1</v>
      </c>
      <c r="M102" s="26">
        <v>114.3</v>
      </c>
      <c r="N102" s="26">
        <v>169.7</v>
      </c>
      <c r="O102" s="26">
        <v>164.6</v>
      </c>
      <c r="P102" s="26">
        <v>169.8</v>
      </c>
      <c r="Q102" s="26">
        <v>158.69999999999999</v>
      </c>
      <c r="R102" s="26">
        <v>189.6</v>
      </c>
      <c r="S102" s="26">
        <v>165.3</v>
      </c>
      <c r="T102" s="26">
        <v>160.6</v>
      </c>
      <c r="U102" s="26">
        <v>164.5</v>
      </c>
      <c r="V102" s="26" t="s">
        <v>33</v>
      </c>
      <c r="W102" s="26">
        <v>161.69999999999999</v>
      </c>
      <c r="X102" s="26">
        <v>158.80000000000001</v>
      </c>
      <c r="Y102" s="26">
        <v>169.1</v>
      </c>
      <c r="Z102" s="26">
        <v>153.19999999999999</v>
      </c>
      <c r="AA102" s="26">
        <v>160</v>
      </c>
      <c r="AB102" s="26">
        <v>167.6</v>
      </c>
      <c r="AC102" s="26">
        <v>159.30000000000001</v>
      </c>
      <c r="AD102" s="26">
        <v>161.1</v>
      </c>
      <c r="AE102" s="26">
        <v>161.1</v>
      </c>
      <c r="AF102" s="26">
        <v>2095.2999999999997</v>
      </c>
      <c r="AG102" s="26">
        <v>490.4</v>
      </c>
      <c r="AH102" s="26">
        <v>320.5</v>
      </c>
      <c r="AI102" s="26">
        <v>328.4</v>
      </c>
      <c r="AJ102" s="26">
        <v>321.10000000000002</v>
      </c>
      <c r="AK102" s="26">
        <v>4066.1</v>
      </c>
    </row>
    <row r="103" spans="1:37" x14ac:dyDescent="0.25">
      <c r="A103" t="s">
        <v>31</v>
      </c>
      <c r="B103">
        <v>2021</v>
      </c>
      <c r="C103" t="s">
        <v>40</v>
      </c>
      <c r="D103" s="25">
        <v>44348</v>
      </c>
      <c r="E103" s="26">
        <v>145.6</v>
      </c>
      <c r="F103" s="26">
        <v>200.1</v>
      </c>
      <c r="G103" s="26">
        <v>179.3</v>
      </c>
      <c r="H103" s="26">
        <v>156.1</v>
      </c>
      <c r="I103" s="26">
        <v>190.4</v>
      </c>
      <c r="J103" s="26">
        <v>158.6</v>
      </c>
      <c r="K103" s="26">
        <v>144.69999999999999</v>
      </c>
      <c r="L103" s="26">
        <v>165.5</v>
      </c>
      <c r="M103" s="26">
        <v>114.6</v>
      </c>
      <c r="N103" s="26">
        <v>170</v>
      </c>
      <c r="O103" s="26">
        <v>165.5</v>
      </c>
      <c r="P103" s="26">
        <v>171.7</v>
      </c>
      <c r="Q103" s="26">
        <v>160.5</v>
      </c>
      <c r="R103" s="26">
        <v>189.1</v>
      </c>
      <c r="S103" s="26">
        <v>165.3</v>
      </c>
      <c r="T103" s="26">
        <v>159.9</v>
      </c>
      <c r="U103" s="26">
        <v>164.6</v>
      </c>
      <c r="V103" s="26" t="s">
        <v>33</v>
      </c>
      <c r="W103" s="26">
        <v>162.1</v>
      </c>
      <c r="X103" s="26">
        <v>159.19999999999999</v>
      </c>
      <c r="Y103" s="26">
        <v>169.7</v>
      </c>
      <c r="Z103" s="26">
        <v>154.19999999999999</v>
      </c>
      <c r="AA103" s="26">
        <v>160.4</v>
      </c>
      <c r="AB103" s="26">
        <v>166.8</v>
      </c>
      <c r="AC103" s="26">
        <v>159.4</v>
      </c>
      <c r="AD103" s="26">
        <v>161.5</v>
      </c>
      <c r="AE103" s="26">
        <v>162.1</v>
      </c>
      <c r="AF103" s="26">
        <v>2122.6</v>
      </c>
      <c r="AG103" s="26">
        <v>489.80000000000007</v>
      </c>
      <c r="AH103" s="26">
        <v>321.29999999999995</v>
      </c>
      <c r="AI103" s="26">
        <v>329.1</v>
      </c>
      <c r="AJ103" s="26">
        <v>321.89999999999998</v>
      </c>
      <c r="AK103" s="26">
        <v>4094.8</v>
      </c>
    </row>
    <row r="104" spans="1:37" x14ac:dyDescent="0.25">
      <c r="A104" t="s">
        <v>31</v>
      </c>
      <c r="B104">
        <v>2021</v>
      </c>
      <c r="C104" t="s">
        <v>41</v>
      </c>
      <c r="D104" s="25">
        <v>44378</v>
      </c>
      <c r="E104" s="26">
        <v>145.1</v>
      </c>
      <c r="F104" s="26">
        <v>204.5</v>
      </c>
      <c r="G104" s="26">
        <v>180.4</v>
      </c>
      <c r="H104" s="26">
        <v>157.1</v>
      </c>
      <c r="I104" s="26">
        <v>188.7</v>
      </c>
      <c r="J104" s="26">
        <v>157.69999999999999</v>
      </c>
      <c r="K104" s="26">
        <v>152.80000000000001</v>
      </c>
      <c r="L104" s="26">
        <v>163.6</v>
      </c>
      <c r="M104" s="26">
        <v>113.9</v>
      </c>
      <c r="N104" s="26">
        <v>169.7</v>
      </c>
      <c r="O104" s="26">
        <v>166.2</v>
      </c>
      <c r="P104" s="26">
        <v>171</v>
      </c>
      <c r="Q104" s="26">
        <v>161.69999999999999</v>
      </c>
      <c r="R104" s="26">
        <v>189.7</v>
      </c>
      <c r="S104" s="26">
        <v>166</v>
      </c>
      <c r="T104" s="26">
        <v>161.1</v>
      </c>
      <c r="U104" s="26">
        <v>165.3</v>
      </c>
      <c r="V104" s="26" t="s">
        <v>33</v>
      </c>
      <c r="W104" s="26">
        <v>162.5</v>
      </c>
      <c r="X104" s="26">
        <v>160.30000000000001</v>
      </c>
      <c r="Y104" s="26">
        <v>170.4</v>
      </c>
      <c r="Z104" s="26">
        <v>157.1</v>
      </c>
      <c r="AA104" s="26">
        <v>160.69999999999999</v>
      </c>
      <c r="AB104" s="26">
        <v>167.2</v>
      </c>
      <c r="AC104" s="26">
        <v>160.4</v>
      </c>
      <c r="AD104" s="26">
        <v>162.80000000000001</v>
      </c>
      <c r="AE104" s="26">
        <v>163.19999999999999</v>
      </c>
      <c r="AF104" s="26">
        <v>2132.4</v>
      </c>
      <c r="AG104" s="26">
        <v>492.40000000000003</v>
      </c>
      <c r="AH104" s="26">
        <v>322.8</v>
      </c>
      <c r="AI104" s="26">
        <v>330.8</v>
      </c>
      <c r="AJ104" s="26">
        <v>323.5</v>
      </c>
      <c r="AK104" s="26">
        <v>4115.9000000000005</v>
      </c>
    </row>
    <row r="105" spans="1:37" x14ac:dyDescent="0.25">
      <c r="A105" t="s">
        <v>31</v>
      </c>
      <c r="B105">
        <v>2021</v>
      </c>
      <c r="C105" t="s">
        <v>42</v>
      </c>
      <c r="D105" s="25">
        <v>44409</v>
      </c>
      <c r="E105" s="26">
        <v>144.9</v>
      </c>
      <c r="F105" s="26">
        <v>202.3</v>
      </c>
      <c r="G105" s="26">
        <v>176.5</v>
      </c>
      <c r="H105" s="26">
        <v>157.5</v>
      </c>
      <c r="I105" s="26">
        <v>190.9</v>
      </c>
      <c r="J105" s="26">
        <v>155.69999999999999</v>
      </c>
      <c r="K105" s="26">
        <v>153.9</v>
      </c>
      <c r="L105" s="26">
        <v>162.80000000000001</v>
      </c>
      <c r="M105" s="26">
        <v>115.2</v>
      </c>
      <c r="N105" s="26">
        <v>169.8</v>
      </c>
      <c r="O105" s="26">
        <v>167.6</v>
      </c>
      <c r="P105" s="26">
        <v>171.9</v>
      </c>
      <c r="Q105" s="26">
        <v>161.80000000000001</v>
      </c>
      <c r="R105" s="26">
        <v>190.2</v>
      </c>
      <c r="S105" s="26">
        <v>167</v>
      </c>
      <c r="T105" s="26">
        <v>162.6</v>
      </c>
      <c r="U105" s="26">
        <v>166.3</v>
      </c>
      <c r="V105" s="26" t="s">
        <v>33</v>
      </c>
      <c r="W105" s="26">
        <v>163.1</v>
      </c>
      <c r="X105" s="26">
        <v>160.9</v>
      </c>
      <c r="Y105" s="26">
        <v>171.1</v>
      </c>
      <c r="Z105" s="26">
        <v>157.69999999999999</v>
      </c>
      <c r="AA105" s="26">
        <v>161.1</v>
      </c>
      <c r="AB105" s="26">
        <v>167.5</v>
      </c>
      <c r="AC105" s="26">
        <v>160.30000000000001</v>
      </c>
      <c r="AD105" s="26">
        <v>163.30000000000001</v>
      </c>
      <c r="AE105" s="26">
        <v>163.6</v>
      </c>
      <c r="AF105" s="26">
        <v>2130.8000000000002</v>
      </c>
      <c r="AG105" s="26">
        <v>495.90000000000003</v>
      </c>
      <c r="AH105" s="26">
        <v>324</v>
      </c>
      <c r="AI105" s="26">
        <v>331.4</v>
      </c>
      <c r="AJ105" s="26">
        <v>324.39999999999998</v>
      </c>
      <c r="AK105" s="26">
        <v>4121.9000000000005</v>
      </c>
    </row>
    <row r="106" spans="1:37" x14ac:dyDescent="0.25">
      <c r="A106" t="s">
        <v>31</v>
      </c>
      <c r="B106">
        <v>2021</v>
      </c>
      <c r="C106" t="s">
        <v>43</v>
      </c>
      <c r="D106" s="25">
        <v>44440</v>
      </c>
      <c r="E106" s="26">
        <v>145.4</v>
      </c>
      <c r="F106" s="26">
        <v>202.1</v>
      </c>
      <c r="G106" s="26">
        <v>172</v>
      </c>
      <c r="H106" s="26">
        <v>158</v>
      </c>
      <c r="I106" s="26">
        <v>195.5</v>
      </c>
      <c r="J106" s="26">
        <v>152.69999999999999</v>
      </c>
      <c r="K106" s="26">
        <v>151.4</v>
      </c>
      <c r="L106" s="26">
        <v>163.9</v>
      </c>
      <c r="M106" s="26">
        <v>119.3</v>
      </c>
      <c r="N106" s="26">
        <v>170.1</v>
      </c>
      <c r="O106" s="26">
        <v>168.3</v>
      </c>
      <c r="P106" s="26">
        <v>172.8</v>
      </c>
      <c r="Q106" s="26">
        <v>162.1</v>
      </c>
      <c r="R106" s="26">
        <v>190.5</v>
      </c>
      <c r="S106" s="26">
        <v>167.7</v>
      </c>
      <c r="T106" s="26">
        <v>163.6</v>
      </c>
      <c r="U106" s="26">
        <v>167.1</v>
      </c>
      <c r="V106" s="26" t="s">
        <v>33</v>
      </c>
      <c r="W106" s="26">
        <v>163.69999999999999</v>
      </c>
      <c r="X106" s="26">
        <v>161.30000000000001</v>
      </c>
      <c r="Y106" s="26">
        <v>171.9</v>
      </c>
      <c r="Z106" s="26">
        <v>157.80000000000001</v>
      </c>
      <c r="AA106" s="26">
        <v>162.69999999999999</v>
      </c>
      <c r="AB106" s="26">
        <v>168.5</v>
      </c>
      <c r="AC106" s="26">
        <v>160.19999999999999</v>
      </c>
      <c r="AD106" s="26">
        <v>163.80000000000001</v>
      </c>
      <c r="AE106" s="26">
        <v>164</v>
      </c>
      <c r="AF106" s="26">
        <v>2133.6</v>
      </c>
      <c r="AG106" s="26">
        <v>498.4</v>
      </c>
      <c r="AH106" s="26">
        <v>325</v>
      </c>
      <c r="AI106" s="26">
        <v>332.1</v>
      </c>
      <c r="AJ106" s="26">
        <v>326.5</v>
      </c>
      <c r="AK106" s="26">
        <v>4132.3999999999996</v>
      </c>
    </row>
    <row r="107" spans="1:37" x14ac:dyDescent="0.25">
      <c r="A107" t="s">
        <v>31</v>
      </c>
      <c r="B107">
        <v>2021</v>
      </c>
      <c r="C107" t="s">
        <v>44</v>
      </c>
      <c r="D107" s="25">
        <v>44470</v>
      </c>
      <c r="E107" s="26">
        <v>146.1</v>
      </c>
      <c r="F107" s="26">
        <v>202.5</v>
      </c>
      <c r="G107" s="26">
        <v>170.1</v>
      </c>
      <c r="H107" s="26">
        <v>158.4</v>
      </c>
      <c r="I107" s="26">
        <v>198.8</v>
      </c>
      <c r="J107" s="26">
        <v>152.6</v>
      </c>
      <c r="K107" s="26">
        <v>170.4</v>
      </c>
      <c r="L107" s="26">
        <v>165.2</v>
      </c>
      <c r="M107" s="26">
        <v>121.6</v>
      </c>
      <c r="N107" s="26">
        <v>170.6</v>
      </c>
      <c r="O107" s="26">
        <v>168.8</v>
      </c>
      <c r="P107" s="26">
        <v>173.6</v>
      </c>
      <c r="Q107" s="26">
        <v>165.5</v>
      </c>
      <c r="R107" s="26">
        <v>191.2</v>
      </c>
      <c r="S107" s="26">
        <v>168.9</v>
      </c>
      <c r="T107" s="26">
        <v>164.8</v>
      </c>
      <c r="U107" s="26">
        <v>168.3</v>
      </c>
      <c r="V107" s="26" t="s">
        <v>33</v>
      </c>
      <c r="W107" s="26">
        <v>165.5</v>
      </c>
      <c r="X107" s="26">
        <v>162</v>
      </c>
      <c r="Y107" s="26">
        <v>172.5</v>
      </c>
      <c r="Z107" s="26">
        <v>159.5</v>
      </c>
      <c r="AA107" s="26">
        <v>163.19999999999999</v>
      </c>
      <c r="AB107" s="26">
        <v>169</v>
      </c>
      <c r="AC107" s="26">
        <v>161.1</v>
      </c>
      <c r="AD107" s="26">
        <v>164.7</v>
      </c>
      <c r="AE107" s="26">
        <v>166.3</v>
      </c>
      <c r="AF107" s="26">
        <v>2164.1999999999998</v>
      </c>
      <c r="AG107" s="26">
        <v>502.00000000000006</v>
      </c>
      <c r="AH107" s="26">
        <v>327.5</v>
      </c>
      <c r="AI107" s="26">
        <v>333.6</v>
      </c>
      <c r="AJ107" s="26">
        <v>327.9</v>
      </c>
      <c r="AK107" s="26">
        <v>4174.8999999999996</v>
      </c>
    </row>
    <row r="108" spans="1:37" x14ac:dyDescent="0.25">
      <c r="A108" t="s">
        <v>31</v>
      </c>
      <c r="B108">
        <v>2021</v>
      </c>
      <c r="C108" t="s">
        <v>46</v>
      </c>
      <c r="D108" s="25">
        <v>44501</v>
      </c>
      <c r="E108" s="26">
        <v>146.9</v>
      </c>
      <c r="F108" s="26">
        <v>199.8</v>
      </c>
      <c r="G108" s="26">
        <v>171.5</v>
      </c>
      <c r="H108" s="26">
        <v>159.1</v>
      </c>
      <c r="I108" s="26">
        <v>198.4</v>
      </c>
      <c r="J108" s="26">
        <v>153.19999999999999</v>
      </c>
      <c r="K108" s="26">
        <v>183.9</v>
      </c>
      <c r="L108" s="26">
        <v>165.4</v>
      </c>
      <c r="M108" s="26">
        <v>122.1</v>
      </c>
      <c r="N108" s="26">
        <v>170.8</v>
      </c>
      <c r="O108" s="26">
        <v>169.1</v>
      </c>
      <c r="P108" s="26">
        <v>174.3</v>
      </c>
      <c r="Q108" s="26">
        <v>167.5</v>
      </c>
      <c r="R108" s="26">
        <v>191.4</v>
      </c>
      <c r="S108" s="26">
        <v>170.4</v>
      </c>
      <c r="T108" s="26">
        <v>166</v>
      </c>
      <c r="U108" s="26">
        <v>169.8</v>
      </c>
      <c r="V108" s="26" t="s">
        <v>33</v>
      </c>
      <c r="W108" s="26">
        <v>165.3</v>
      </c>
      <c r="X108" s="26">
        <v>162.9</v>
      </c>
      <c r="Y108" s="26">
        <v>173.4</v>
      </c>
      <c r="Z108" s="26">
        <v>158.9</v>
      </c>
      <c r="AA108" s="26">
        <v>163.80000000000001</v>
      </c>
      <c r="AB108" s="26">
        <v>169.3</v>
      </c>
      <c r="AC108" s="26">
        <v>162.4</v>
      </c>
      <c r="AD108" s="26">
        <v>165.2</v>
      </c>
      <c r="AE108" s="26">
        <v>167.6</v>
      </c>
      <c r="AF108" s="26">
        <v>2182</v>
      </c>
      <c r="AG108" s="26">
        <v>506.2</v>
      </c>
      <c r="AH108" s="26">
        <v>328.20000000000005</v>
      </c>
      <c r="AI108" s="26">
        <v>335.8</v>
      </c>
      <c r="AJ108" s="26">
        <v>329</v>
      </c>
      <c r="AK108" s="26">
        <v>4200.8</v>
      </c>
    </row>
    <row r="109" spans="1:37" x14ac:dyDescent="0.25">
      <c r="A109" t="s">
        <v>31</v>
      </c>
      <c r="B109">
        <v>2021</v>
      </c>
      <c r="C109" t="s">
        <v>47</v>
      </c>
      <c r="D109" s="25">
        <v>44531</v>
      </c>
      <c r="E109" s="26">
        <v>147.4</v>
      </c>
      <c r="F109" s="26">
        <v>197</v>
      </c>
      <c r="G109" s="26">
        <v>176.5</v>
      </c>
      <c r="H109" s="26">
        <v>159.80000000000001</v>
      </c>
      <c r="I109" s="26">
        <v>195.8</v>
      </c>
      <c r="J109" s="26">
        <v>152</v>
      </c>
      <c r="K109" s="26">
        <v>172.3</v>
      </c>
      <c r="L109" s="26">
        <v>164.5</v>
      </c>
      <c r="M109" s="26">
        <v>120.6</v>
      </c>
      <c r="N109" s="26">
        <v>171.7</v>
      </c>
      <c r="O109" s="26">
        <v>169.7</v>
      </c>
      <c r="P109" s="26">
        <v>175.1</v>
      </c>
      <c r="Q109" s="26">
        <v>165.8</v>
      </c>
      <c r="R109" s="26">
        <v>190.8</v>
      </c>
      <c r="S109" s="26">
        <v>171.8</v>
      </c>
      <c r="T109" s="26">
        <v>167.3</v>
      </c>
      <c r="U109" s="26">
        <v>171.2</v>
      </c>
      <c r="V109" s="26" t="s">
        <v>33</v>
      </c>
      <c r="W109" s="26">
        <v>165.6</v>
      </c>
      <c r="X109" s="26">
        <v>163.9</v>
      </c>
      <c r="Y109" s="26">
        <v>174</v>
      </c>
      <c r="Z109" s="26">
        <v>160.1</v>
      </c>
      <c r="AA109" s="26">
        <v>164.5</v>
      </c>
      <c r="AB109" s="26">
        <v>169.7</v>
      </c>
      <c r="AC109" s="26">
        <v>162.80000000000001</v>
      </c>
      <c r="AD109" s="26">
        <v>166</v>
      </c>
      <c r="AE109" s="26">
        <v>167</v>
      </c>
      <c r="AF109" s="26">
        <v>2168.1999999999998</v>
      </c>
      <c r="AG109" s="26">
        <v>510.3</v>
      </c>
      <c r="AH109" s="26">
        <v>329.5</v>
      </c>
      <c r="AI109" s="26">
        <v>336.8</v>
      </c>
      <c r="AJ109" s="26">
        <v>330.5</v>
      </c>
      <c r="AK109" s="26">
        <v>4195.8999999999996</v>
      </c>
    </row>
    <row r="110" spans="1:37" x14ac:dyDescent="0.25">
      <c r="A110" t="s">
        <v>31</v>
      </c>
      <c r="B110">
        <v>2022</v>
      </c>
      <c r="C110" t="s">
        <v>32</v>
      </c>
      <c r="D110" s="25">
        <v>44562</v>
      </c>
      <c r="E110" s="26">
        <v>148.30000000000001</v>
      </c>
      <c r="F110" s="26">
        <v>196.9</v>
      </c>
      <c r="G110" s="26">
        <v>178</v>
      </c>
      <c r="H110" s="26">
        <v>160.5</v>
      </c>
      <c r="I110" s="26">
        <v>192.6</v>
      </c>
      <c r="J110" s="26">
        <v>151.19999999999999</v>
      </c>
      <c r="K110" s="26">
        <v>159.19999999999999</v>
      </c>
      <c r="L110" s="26">
        <v>164</v>
      </c>
      <c r="M110" s="26">
        <v>119.3</v>
      </c>
      <c r="N110" s="26">
        <v>173.3</v>
      </c>
      <c r="O110" s="26">
        <v>169.8</v>
      </c>
      <c r="P110" s="26">
        <v>175.8</v>
      </c>
      <c r="Q110" s="26">
        <v>164.1</v>
      </c>
      <c r="R110" s="26">
        <v>190.7</v>
      </c>
      <c r="S110" s="26">
        <v>173.2</v>
      </c>
      <c r="T110" s="26">
        <v>169.3</v>
      </c>
      <c r="U110" s="26">
        <v>172.7</v>
      </c>
      <c r="V110" s="26" t="s">
        <v>33</v>
      </c>
      <c r="W110" s="26">
        <v>165.8</v>
      </c>
      <c r="X110" s="26">
        <v>164.9</v>
      </c>
      <c r="Y110" s="26">
        <v>174.7</v>
      </c>
      <c r="Z110" s="26">
        <v>160.80000000000001</v>
      </c>
      <c r="AA110" s="26">
        <v>164.9</v>
      </c>
      <c r="AB110" s="26">
        <v>169.9</v>
      </c>
      <c r="AC110" s="26">
        <v>163.19999999999999</v>
      </c>
      <c r="AD110" s="26">
        <v>166.6</v>
      </c>
      <c r="AE110" s="26">
        <v>166.4</v>
      </c>
      <c r="AF110" s="26">
        <v>2153</v>
      </c>
      <c r="AG110" s="26">
        <v>515.20000000000005</v>
      </c>
      <c r="AH110" s="26">
        <v>330.70000000000005</v>
      </c>
      <c r="AI110" s="26">
        <v>337.9</v>
      </c>
      <c r="AJ110" s="26">
        <v>331.5</v>
      </c>
      <c r="AK110" s="26">
        <v>4189.7000000000007</v>
      </c>
    </row>
    <row r="111" spans="1:37" x14ac:dyDescent="0.25">
      <c r="A111" t="s">
        <v>31</v>
      </c>
      <c r="B111">
        <v>2022</v>
      </c>
      <c r="C111" t="s">
        <v>36</v>
      </c>
      <c r="D111" s="25">
        <v>44593</v>
      </c>
      <c r="E111" s="26">
        <v>148.80000000000001</v>
      </c>
      <c r="F111" s="26">
        <v>198.1</v>
      </c>
      <c r="G111" s="26">
        <v>175.5</v>
      </c>
      <c r="H111" s="26">
        <v>160.69999999999999</v>
      </c>
      <c r="I111" s="26">
        <v>192.6</v>
      </c>
      <c r="J111" s="26">
        <v>151.4</v>
      </c>
      <c r="K111" s="26">
        <v>155.19999999999999</v>
      </c>
      <c r="L111" s="26">
        <v>163.9</v>
      </c>
      <c r="M111" s="26">
        <v>118.1</v>
      </c>
      <c r="N111" s="26">
        <v>175.4</v>
      </c>
      <c r="O111" s="26">
        <v>170.5</v>
      </c>
      <c r="P111" s="26">
        <v>176.3</v>
      </c>
      <c r="Q111" s="26">
        <v>163.9</v>
      </c>
      <c r="R111" s="26">
        <v>191.5</v>
      </c>
      <c r="S111" s="26">
        <v>174.1</v>
      </c>
      <c r="T111" s="26">
        <v>171</v>
      </c>
      <c r="U111" s="26">
        <v>173.7</v>
      </c>
      <c r="V111" s="26" t="s">
        <v>33</v>
      </c>
      <c r="W111" s="26">
        <v>167.4</v>
      </c>
      <c r="X111" s="26">
        <v>165.7</v>
      </c>
      <c r="Y111" s="26">
        <v>175.3</v>
      </c>
      <c r="Z111" s="26">
        <v>161.19999999999999</v>
      </c>
      <c r="AA111" s="26">
        <v>165.5</v>
      </c>
      <c r="AB111" s="26">
        <v>170.3</v>
      </c>
      <c r="AC111" s="26">
        <v>164.5</v>
      </c>
      <c r="AD111" s="26">
        <v>167.3</v>
      </c>
      <c r="AE111" s="26">
        <v>166.7</v>
      </c>
      <c r="AF111" s="26">
        <v>2150.4</v>
      </c>
      <c r="AG111" s="26">
        <v>518.79999999999995</v>
      </c>
      <c r="AH111" s="26">
        <v>333.1</v>
      </c>
      <c r="AI111" s="26">
        <v>339.8</v>
      </c>
      <c r="AJ111" s="26">
        <v>332.8</v>
      </c>
      <c r="AK111" s="26">
        <v>4197.8999999999996</v>
      </c>
    </row>
    <row r="112" spans="1:37" x14ac:dyDescent="0.25">
      <c r="A112" t="s">
        <v>31</v>
      </c>
      <c r="B112">
        <v>2022</v>
      </c>
      <c r="C112" t="s">
        <v>37</v>
      </c>
      <c r="D112" s="25">
        <v>44621</v>
      </c>
      <c r="E112" s="26">
        <v>150.19999999999999</v>
      </c>
      <c r="F112" s="26">
        <v>208</v>
      </c>
      <c r="G112" s="26">
        <v>167.9</v>
      </c>
      <c r="H112" s="26">
        <v>162</v>
      </c>
      <c r="I112" s="26">
        <v>203.1</v>
      </c>
      <c r="J112" s="26">
        <v>155.9</v>
      </c>
      <c r="K112" s="26">
        <v>155.80000000000001</v>
      </c>
      <c r="L112" s="26">
        <v>164.2</v>
      </c>
      <c r="M112" s="26">
        <v>118.1</v>
      </c>
      <c r="N112" s="26">
        <v>178.7</v>
      </c>
      <c r="O112" s="26">
        <v>171.2</v>
      </c>
      <c r="P112" s="26">
        <v>177.4</v>
      </c>
      <c r="Q112" s="26">
        <v>166.6</v>
      </c>
      <c r="R112" s="26">
        <v>192.3</v>
      </c>
      <c r="S112" s="26">
        <v>175.4</v>
      </c>
      <c r="T112" s="26">
        <v>173.2</v>
      </c>
      <c r="U112" s="26">
        <v>175.1</v>
      </c>
      <c r="V112" s="26" t="s">
        <v>33</v>
      </c>
      <c r="W112" s="26">
        <v>168.9</v>
      </c>
      <c r="X112" s="26">
        <v>166.5</v>
      </c>
      <c r="Y112" s="26">
        <v>176</v>
      </c>
      <c r="Z112" s="26">
        <v>162</v>
      </c>
      <c r="AA112" s="26">
        <v>166.6</v>
      </c>
      <c r="AB112" s="26">
        <v>170.6</v>
      </c>
      <c r="AC112" s="26">
        <v>167.4</v>
      </c>
      <c r="AD112" s="26">
        <v>168.3</v>
      </c>
      <c r="AE112" s="26">
        <v>168.7</v>
      </c>
      <c r="AF112" s="26">
        <v>2179.1000000000004</v>
      </c>
      <c r="AG112" s="26">
        <v>523.70000000000005</v>
      </c>
      <c r="AH112" s="26">
        <v>335.4</v>
      </c>
      <c r="AI112" s="26">
        <v>343.4</v>
      </c>
      <c r="AJ112" s="26">
        <v>334.9</v>
      </c>
      <c r="AK112" s="26">
        <v>4241.4000000000005</v>
      </c>
    </row>
    <row r="113" spans="1:37" x14ac:dyDescent="0.25">
      <c r="A113" t="s">
        <v>31</v>
      </c>
      <c r="B113">
        <v>2022</v>
      </c>
      <c r="C113" t="s">
        <v>38</v>
      </c>
      <c r="D113" s="25">
        <v>44652</v>
      </c>
      <c r="E113" s="26">
        <v>151.80000000000001</v>
      </c>
      <c r="F113" s="26">
        <v>209.7</v>
      </c>
      <c r="G113" s="26">
        <v>164.5</v>
      </c>
      <c r="H113" s="26">
        <v>163.80000000000001</v>
      </c>
      <c r="I113" s="26">
        <v>207.4</v>
      </c>
      <c r="J113" s="26">
        <v>169.7</v>
      </c>
      <c r="K113" s="26">
        <v>153.6</v>
      </c>
      <c r="L113" s="26">
        <v>165.1</v>
      </c>
      <c r="M113" s="26">
        <v>118.2</v>
      </c>
      <c r="N113" s="26">
        <v>182.9</v>
      </c>
      <c r="O113" s="26">
        <v>172.4</v>
      </c>
      <c r="P113" s="26">
        <v>178.9</v>
      </c>
      <c r="Q113" s="26">
        <v>168.6</v>
      </c>
      <c r="R113" s="26">
        <v>192.8</v>
      </c>
      <c r="S113" s="26">
        <v>177.5</v>
      </c>
      <c r="T113" s="26">
        <v>175.1</v>
      </c>
      <c r="U113" s="26">
        <v>177.1</v>
      </c>
      <c r="V113" s="26" t="s">
        <v>33</v>
      </c>
      <c r="W113" s="26">
        <v>173.3</v>
      </c>
      <c r="X113" s="26">
        <v>167.7</v>
      </c>
      <c r="Y113" s="26">
        <v>177</v>
      </c>
      <c r="Z113" s="26">
        <v>166.2</v>
      </c>
      <c r="AA113" s="26">
        <v>167.2</v>
      </c>
      <c r="AB113" s="26">
        <v>170.9</v>
      </c>
      <c r="AC113" s="26">
        <v>169</v>
      </c>
      <c r="AD113" s="26">
        <v>170.2</v>
      </c>
      <c r="AE113" s="26">
        <v>170.8</v>
      </c>
      <c r="AF113" s="26">
        <v>2206.6</v>
      </c>
      <c r="AG113" s="26">
        <v>529.70000000000005</v>
      </c>
      <c r="AH113" s="26">
        <v>341</v>
      </c>
      <c r="AI113" s="26">
        <v>346</v>
      </c>
      <c r="AJ113" s="26">
        <v>337.4</v>
      </c>
      <c r="AK113" s="26">
        <v>4290.5999999999995</v>
      </c>
    </row>
    <row r="114" spans="1:37" x14ac:dyDescent="0.25">
      <c r="A114" t="s">
        <v>31</v>
      </c>
      <c r="B114">
        <v>2022</v>
      </c>
      <c r="C114" t="s">
        <v>39</v>
      </c>
      <c r="D114" s="25">
        <v>44682</v>
      </c>
      <c r="E114" s="26">
        <v>152.9</v>
      </c>
      <c r="F114" s="26">
        <v>214.7</v>
      </c>
      <c r="G114" s="26">
        <v>161.4</v>
      </c>
      <c r="H114" s="26">
        <v>164.6</v>
      </c>
      <c r="I114" s="26">
        <v>209.9</v>
      </c>
      <c r="J114" s="26">
        <v>168</v>
      </c>
      <c r="K114" s="26">
        <v>160.4</v>
      </c>
      <c r="L114" s="26">
        <v>165</v>
      </c>
      <c r="M114" s="26">
        <v>118.9</v>
      </c>
      <c r="N114" s="26">
        <v>186.6</v>
      </c>
      <c r="O114" s="26">
        <v>173.2</v>
      </c>
      <c r="P114" s="26">
        <v>180.4</v>
      </c>
      <c r="Q114" s="26">
        <v>170.8</v>
      </c>
      <c r="R114" s="26">
        <v>192.9</v>
      </c>
      <c r="S114" s="26">
        <v>179.3</v>
      </c>
      <c r="T114" s="26">
        <v>177.2</v>
      </c>
      <c r="U114" s="26">
        <v>179</v>
      </c>
      <c r="V114" s="26" t="s">
        <v>33</v>
      </c>
      <c r="W114" s="26">
        <v>175.3</v>
      </c>
      <c r="X114" s="26">
        <v>168.9</v>
      </c>
      <c r="Y114" s="26">
        <v>177.7</v>
      </c>
      <c r="Z114" s="26">
        <v>167.1</v>
      </c>
      <c r="AA114" s="26">
        <v>167.6</v>
      </c>
      <c r="AB114" s="26">
        <v>171.8</v>
      </c>
      <c r="AC114" s="26">
        <v>168.5</v>
      </c>
      <c r="AD114" s="26">
        <v>170.9</v>
      </c>
      <c r="AE114" s="26">
        <v>172.5</v>
      </c>
      <c r="AF114" s="26">
        <v>2226.8000000000002</v>
      </c>
      <c r="AG114" s="26">
        <v>535.5</v>
      </c>
      <c r="AH114" s="26">
        <v>344.20000000000005</v>
      </c>
      <c r="AI114" s="26">
        <v>346.2</v>
      </c>
      <c r="AJ114" s="26">
        <v>338.5</v>
      </c>
      <c r="AK114" s="26">
        <v>4323</v>
      </c>
    </row>
    <row r="115" spans="1:37" x14ac:dyDescent="0.25">
      <c r="A115" t="s">
        <v>31</v>
      </c>
      <c r="B115">
        <v>2022</v>
      </c>
      <c r="C115" t="s">
        <v>40</v>
      </c>
      <c r="D115" s="25">
        <v>44713</v>
      </c>
      <c r="E115" s="26">
        <v>153.80000000000001</v>
      </c>
      <c r="F115" s="26">
        <v>217.2</v>
      </c>
      <c r="G115" s="26">
        <v>169.6</v>
      </c>
      <c r="H115" s="26">
        <v>165.4</v>
      </c>
      <c r="I115" s="26">
        <v>208.1</v>
      </c>
      <c r="J115" s="26">
        <v>165.8</v>
      </c>
      <c r="K115" s="26">
        <v>167.3</v>
      </c>
      <c r="L115" s="26">
        <v>164.6</v>
      </c>
      <c r="M115" s="26">
        <v>119.1</v>
      </c>
      <c r="N115" s="26">
        <v>188.9</v>
      </c>
      <c r="O115" s="26">
        <v>174.2</v>
      </c>
      <c r="P115" s="26">
        <v>181.9</v>
      </c>
      <c r="Q115" s="26">
        <v>172.4</v>
      </c>
      <c r="R115" s="26">
        <v>192.9</v>
      </c>
      <c r="S115" s="26">
        <v>180.7</v>
      </c>
      <c r="T115" s="26">
        <v>178.7</v>
      </c>
      <c r="U115" s="26">
        <v>180.4</v>
      </c>
      <c r="V115" s="26" t="s">
        <v>33</v>
      </c>
      <c r="W115" s="26">
        <v>176.7</v>
      </c>
      <c r="X115" s="26">
        <v>170.3</v>
      </c>
      <c r="Y115" s="26">
        <v>178.2</v>
      </c>
      <c r="Z115" s="26">
        <v>165.5</v>
      </c>
      <c r="AA115" s="26">
        <v>168</v>
      </c>
      <c r="AB115" s="26">
        <v>172.6</v>
      </c>
      <c r="AC115" s="26">
        <v>169.5</v>
      </c>
      <c r="AD115" s="26">
        <v>171</v>
      </c>
      <c r="AE115" s="26">
        <v>173.6</v>
      </c>
      <c r="AF115" s="26">
        <v>2248.3000000000002</v>
      </c>
      <c r="AG115" s="26">
        <v>539.79999999999995</v>
      </c>
      <c r="AH115" s="26">
        <v>347</v>
      </c>
      <c r="AI115" s="26">
        <v>347.7</v>
      </c>
      <c r="AJ115" s="26">
        <v>339</v>
      </c>
      <c r="AK115" s="26">
        <v>4352.8</v>
      </c>
    </row>
    <row r="116" spans="1:37" x14ac:dyDescent="0.25">
      <c r="A116" t="s">
        <v>31</v>
      </c>
      <c r="B116">
        <v>2022</v>
      </c>
      <c r="C116" t="s">
        <v>41</v>
      </c>
      <c r="D116" s="25">
        <v>44743</v>
      </c>
      <c r="E116" s="26">
        <v>155.19999999999999</v>
      </c>
      <c r="F116" s="26">
        <v>210.8</v>
      </c>
      <c r="G116" s="26">
        <v>174.3</v>
      </c>
      <c r="H116" s="26">
        <v>166.3</v>
      </c>
      <c r="I116" s="26">
        <v>202.2</v>
      </c>
      <c r="J116" s="26">
        <v>169.6</v>
      </c>
      <c r="K116" s="26">
        <v>168.6</v>
      </c>
      <c r="L116" s="26">
        <v>164.4</v>
      </c>
      <c r="M116" s="26">
        <v>119.2</v>
      </c>
      <c r="N116" s="26">
        <v>191.8</v>
      </c>
      <c r="O116" s="26">
        <v>174.5</v>
      </c>
      <c r="P116" s="26">
        <v>183.1</v>
      </c>
      <c r="Q116" s="26">
        <v>172.5</v>
      </c>
      <c r="R116" s="26">
        <v>193.2</v>
      </c>
      <c r="S116" s="26">
        <v>182</v>
      </c>
      <c r="T116" s="26">
        <v>180.3</v>
      </c>
      <c r="U116" s="26">
        <v>181.7</v>
      </c>
      <c r="V116" s="26" t="s">
        <v>33</v>
      </c>
      <c r="W116" s="26">
        <v>179.6</v>
      </c>
      <c r="X116" s="26">
        <v>171.3</v>
      </c>
      <c r="Y116" s="26">
        <v>178.8</v>
      </c>
      <c r="Z116" s="26">
        <v>166.3</v>
      </c>
      <c r="AA116" s="26">
        <v>168.6</v>
      </c>
      <c r="AB116" s="26">
        <v>174.7</v>
      </c>
      <c r="AC116" s="26">
        <v>169.7</v>
      </c>
      <c r="AD116" s="26">
        <v>171.8</v>
      </c>
      <c r="AE116" s="26">
        <v>174.3</v>
      </c>
      <c r="AF116" s="26">
        <v>2252.5</v>
      </c>
      <c r="AG116" s="26">
        <v>544</v>
      </c>
      <c r="AH116" s="26">
        <v>350.9</v>
      </c>
      <c r="AI116" s="26">
        <v>348.5</v>
      </c>
      <c r="AJ116" s="26">
        <v>340.4</v>
      </c>
      <c r="AK116" s="26">
        <v>4370.5</v>
      </c>
    </row>
    <row r="117" spans="1:37" x14ac:dyDescent="0.25">
      <c r="A117" t="s">
        <v>31</v>
      </c>
      <c r="B117">
        <v>2022</v>
      </c>
      <c r="C117" t="s">
        <v>42</v>
      </c>
      <c r="D117" s="25">
        <v>44774</v>
      </c>
      <c r="E117" s="26">
        <v>159.5</v>
      </c>
      <c r="F117" s="26">
        <v>204.1</v>
      </c>
      <c r="G117" s="26">
        <v>168.3</v>
      </c>
      <c r="H117" s="26">
        <v>167.9</v>
      </c>
      <c r="I117" s="26">
        <v>198.1</v>
      </c>
      <c r="J117" s="26">
        <v>169.2</v>
      </c>
      <c r="K117" s="26">
        <v>173.1</v>
      </c>
      <c r="L117" s="26">
        <v>167.1</v>
      </c>
      <c r="M117" s="26">
        <v>120.2</v>
      </c>
      <c r="N117" s="26">
        <v>195.6</v>
      </c>
      <c r="O117" s="26">
        <v>174.8</v>
      </c>
      <c r="P117" s="26">
        <v>184</v>
      </c>
      <c r="Q117" s="26">
        <v>173.9</v>
      </c>
      <c r="R117" s="26">
        <v>193.7</v>
      </c>
      <c r="S117" s="26">
        <v>183.2</v>
      </c>
      <c r="T117" s="26">
        <v>181.7</v>
      </c>
      <c r="U117" s="26">
        <v>183</v>
      </c>
      <c r="V117" s="26" t="s">
        <v>33</v>
      </c>
      <c r="W117" s="26">
        <v>179.1</v>
      </c>
      <c r="X117" s="26">
        <v>172.3</v>
      </c>
      <c r="Y117" s="26">
        <v>179.4</v>
      </c>
      <c r="Z117" s="26">
        <v>166.6</v>
      </c>
      <c r="AA117" s="26">
        <v>169.3</v>
      </c>
      <c r="AB117" s="26">
        <v>175.7</v>
      </c>
      <c r="AC117" s="26">
        <v>171.1</v>
      </c>
      <c r="AD117" s="26">
        <v>172.6</v>
      </c>
      <c r="AE117" s="26">
        <v>175.3</v>
      </c>
      <c r="AF117" s="26">
        <v>2255.7999999999997</v>
      </c>
      <c r="AG117" s="26">
        <v>547.9</v>
      </c>
      <c r="AH117" s="26">
        <v>351.4</v>
      </c>
      <c r="AI117" s="26">
        <v>350.5</v>
      </c>
      <c r="AJ117" s="26">
        <v>341.9</v>
      </c>
      <c r="AK117" s="26">
        <v>4383.5</v>
      </c>
    </row>
    <row r="118" spans="1:37" x14ac:dyDescent="0.25">
      <c r="A118" t="s">
        <v>31</v>
      </c>
      <c r="B118">
        <v>2022</v>
      </c>
      <c r="C118" t="s">
        <v>43</v>
      </c>
      <c r="D118" s="25">
        <v>44805</v>
      </c>
      <c r="E118" s="26">
        <v>162.9</v>
      </c>
      <c r="F118" s="26">
        <v>206.7</v>
      </c>
      <c r="G118" s="26">
        <v>169</v>
      </c>
      <c r="H118" s="26">
        <v>169.5</v>
      </c>
      <c r="I118" s="26">
        <v>194.1</v>
      </c>
      <c r="J118" s="26">
        <v>164.1</v>
      </c>
      <c r="K118" s="26">
        <v>176.9</v>
      </c>
      <c r="L118" s="26">
        <v>169</v>
      </c>
      <c r="M118" s="26">
        <v>120.8</v>
      </c>
      <c r="N118" s="26">
        <v>199.1</v>
      </c>
      <c r="O118" s="26">
        <v>175.4</v>
      </c>
      <c r="P118" s="26">
        <v>184.8</v>
      </c>
      <c r="Q118" s="26">
        <v>175.5</v>
      </c>
      <c r="R118" s="26">
        <v>194.5</v>
      </c>
      <c r="S118" s="26">
        <v>184.7</v>
      </c>
      <c r="T118" s="26">
        <v>183.3</v>
      </c>
      <c r="U118" s="26">
        <v>184.5</v>
      </c>
      <c r="V118" s="26" t="s">
        <v>33</v>
      </c>
      <c r="W118" s="26">
        <v>179.7</v>
      </c>
      <c r="X118" s="26">
        <v>173.6</v>
      </c>
      <c r="Y118" s="26">
        <v>180.2</v>
      </c>
      <c r="Z118" s="26">
        <v>166.9</v>
      </c>
      <c r="AA118" s="26">
        <v>170</v>
      </c>
      <c r="AB118" s="26">
        <v>176.2</v>
      </c>
      <c r="AC118" s="26">
        <v>170.8</v>
      </c>
      <c r="AD118" s="26">
        <v>173.1</v>
      </c>
      <c r="AE118" s="26">
        <v>176.4</v>
      </c>
      <c r="AF118" s="26">
        <v>2267.8000000000002</v>
      </c>
      <c r="AG118" s="26">
        <v>552.5</v>
      </c>
      <c r="AH118" s="26">
        <v>353.29999999999995</v>
      </c>
      <c r="AI118" s="26">
        <v>351</v>
      </c>
      <c r="AJ118" s="26">
        <v>343.1</v>
      </c>
      <c r="AK118" s="26">
        <v>4405.3</v>
      </c>
    </row>
    <row r="119" spans="1:37" x14ac:dyDescent="0.25">
      <c r="A119" t="s">
        <v>31</v>
      </c>
      <c r="B119">
        <v>2022</v>
      </c>
      <c r="C119" t="s">
        <v>44</v>
      </c>
      <c r="D119" s="25">
        <v>44835</v>
      </c>
      <c r="E119" s="26">
        <v>164.7</v>
      </c>
      <c r="F119" s="26">
        <v>208.8</v>
      </c>
      <c r="G119" s="26">
        <v>170.3</v>
      </c>
      <c r="H119" s="26">
        <v>170.9</v>
      </c>
      <c r="I119" s="26">
        <v>191.6</v>
      </c>
      <c r="J119" s="26">
        <v>162.19999999999999</v>
      </c>
      <c r="K119" s="26">
        <v>184.8</v>
      </c>
      <c r="L119" s="26">
        <v>169.7</v>
      </c>
      <c r="M119" s="26">
        <v>121.1</v>
      </c>
      <c r="N119" s="26">
        <v>201.6</v>
      </c>
      <c r="O119" s="26">
        <v>175.8</v>
      </c>
      <c r="P119" s="26">
        <v>185.6</v>
      </c>
      <c r="Q119" s="26">
        <v>177.4</v>
      </c>
      <c r="R119" s="26">
        <v>194.9</v>
      </c>
      <c r="S119" s="26">
        <v>186.1</v>
      </c>
      <c r="T119" s="26">
        <v>184.4</v>
      </c>
      <c r="U119" s="26">
        <v>185.9</v>
      </c>
      <c r="V119" s="26" t="s">
        <v>33</v>
      </c>
      <c r="W119" s="26">
        <v>180.8</v>
      </c>
      <c r="X119" s="26">
        <v>174.4</v>
      </c>
      <c r="Y119" s="26">
        <v>181.2</v>
      </c>
      <c r="Z119" s="26">
        <v>167.4</v>
      </c>
      <c r="AA119" s="26">
        <v>170.6</v>
      </c>
      <c r="AB119" s="26">
        <v>176.5</v>
      </c>
      <c r="AC119" s="26">
        <v>172</v>
      </c>
      <c r="AD119" s="26">
        <v>173.9</v>
      </c>
      <c r="AE119" s="26">
        <v>177.9</v>
      </c>
      <c r="AF119" s="26">
        <v>2284.5</v>
      </c>
      <c r="AG119" s="26">
        <v>556.4</v>
      </c>
      <c r="AH119" s="26">
        <v>355.20000000000005</v>
      </c>
      <c r="AI119" s="26">
        <v>353.2</v>
      </c>
      <c r="AJ119" s="26">
        <v>344.5</v>
      </c>
      <c r="AK119" s="26">
        <v>4432.6000000000004</v>
      </c>
    </row>
    <row r="120" spans="1:37" x14ac:dyDescent="0.25">
      <c r="A120" t="s">
        <v>31</v>
      </c>
      <c r="B120">
        <v>2022</v>
      </c>
      <c r="C120" t="s">
        <v>46</v>
      </c>
      <c r="D120" s="25">
        <v>44866</v>
      </c>
      <c r="E120" s="26">
        <v>166.9</v>
      </c>
      <c r="F120" s="26">
        <v>207.2</v>
      </c>
      <c r="G120" s="26">
        <v>180.2</v>
      </c>
      <c r="H120" s="26">
        <v>172.3</v>
      </c>
      <c r="I120" s="26">
        <v>194</v>
      </c>
      <c r="J120" s="26">
        <v>159.1</v>
      </c>
      <c r="K120" s="26">
        <v>171.6</v>
      </c>
      <c r="L120" s="26">
        <v>170.2</v>
      </c>
      <c r="M120" s="26">
        <v>121.5</v>
      </c>
      <c r="N120" s="26">
        <v>204.8</v>
      </c>
      <c r="O120" s="26">
        <v>176.4</v>
      </c>
      <c r="P120" s="26">
        <v>186.9</v>
      </c>
      <c r="Q120" s="26">
        <v>176.6</v>
      </c>
      <c r="R120" s="26">
        <v>195.5</v>
      </c>
      <c r="S120" s="26">
        <v>187.2</v>
      </c>
      <c r="T120" s="26">
        <v>185.2</v>
      </c>
      <c r="U120" s="26">
        <v>186.9</v>
      </c>
      <c r="V120" s="26" t="s">
        <v>33</v>
      </c>
      <c r="W120" s="26">
        <v>181.9</v>
      </c>
      <c r="X120" s="26">
        <v>175.5</v>
      </c>
      <c r="Y120" s="26">
        <v>182.3</v>
      </c>
      <c r="Z120" s="26">
        <v>167.5</v>
      </c>
      <c r="AA120" s="26">
        <v>170.8</v>
      </c>
      <c r="AB120" s="26">
        <v>176.9</v>
      </c>
      <c r="AC120" s="26">
        <v>173.4</v>
      </c>
      <c r="AD120" s="26">
        <v>174.6</v>
      </c>
      <c r="AE120" s="26">
        <v>177.8</v>
      </c>
      <c r="AF120" s="26">
        <v>2287.6999999999998</v>
      </c>
      <c r="AG120" s="26">
        <v>559.29999999999995</v>
      </c>
      <c r="AH120" s="26">
        <v>357.4</v>
      </c>
      <c r="AI120" s="26">
        <v>355.70000000000005</v>
      </c>
      <c r="AJ120" s="26">
        <v>345.4</v>
      </c>
      <c r="AK120" s="26">
        <v>4445.3999999999996</v>
      </c>
    </row>
    <row r="121" spans="1:37" x14ac:dyDescent="0.25">
      <c r="A121" t="s">
        <v>31</v>
      </c>
      <c r="B121">
        <v>2022</v>
      </c>
      <c r="C121" t="s">
        <v>47</v>
      </c>
      <c r="D121" s="25">
        <v>44896</v>
      </c>
      <c r="E121" s="26">
        <v>168.8</v>
      </c>
      <c r="F121" s="26">
        <v>206.9</v>
      </c>
      <c r="G121" s="26">
        <v>189.1</v>
      </c>
      <c r="H121" s="26">
        <v>173.4</v>
      </c>
      <c r="I121" s="26">
        <v>193.9</v>
      </c>
      <c r="J121" s="26">
        <v>156.69999999999999</v>
      </c>
      <c r="K121" s="26">
        <v>150.19999999999999</v>
      </c>
      <c r="L121" s="26">
        <v>170.5</v>
      </c>
      <c r="M121" s="26">
        <v>121.2</v>
      </c>
      <c r="N121" s="26">
        <v>207.5</v>
      </c>
      <c r="O121" s="26">
        <v>176.8</v>
      </c>
      <c r="P121" s="26">
        <v>187.7</v>
      </c>
      <c r="Q121" s="26">
        <v>174.4</v>
      </c>
      <c r="R121" s="26">
        <v>195.9</v>
      </c>
      <c r="S121" s="26">
        <v>188.1</v>
      </c>
      <c r="T121" s="26">
        <v>185.9</v>
      </c>
      <c r="U121" s="26">
        <v>187.8</v>
      </c>
      <c r="V121" s="26" t="s">
        <v>33</v>
      </c>
      <c r="W121" s="26">
        <v>182.8</v>
      </c>
      <c r="X121" s="26">
        <v>176.4</v>
      </c>
      <c r="Y121" s="26">
        <v>183.5</v>
      </c>
      <c r="Z121" s="26">
        <v>167.8</v>
      </c>
      <c r="AA121" s="26">
        <v>171.2</v>
      </c>
      <c r="AB121" s="26">
        <v>177.3</v>
      </c>
      <c r="AC121" s="26">
        <v>175.7</v>
      </c>
      <c r="AD121" s="26">
        <v>175.5</v>
      </c>
      <c r="AE121" s="26">
        <v>177.1</v>
      </c>
      <c r="AF121" s="26">
        <v>2277.1</v>
      </c>
      <c r="AG121" s="26">
        <v>561.79999999999995</v>
      </c>
      <c r="AH121" s="26">
        <v>359.20000000000005</v>
      </c>
      <c r="AI121" s="26">
        <v>359.2</v>
      </c>
      <c r="AJ121" s="26">
        <v>346.7</v>
      </c>
      <c r="AK121" s="26">
        <v>4444.9999999999991</v>
      </c>
    </row>
    <row r="122" spans="1:37" x14ac:dyDescent="0.25">
      <c r="A122" t="s">
        <v>31</v>
      </c>
      <c r="B122">
        <v>2023</v>
      </c>
      <c r="C122" t="s">
        <v>32</v>
      </c>
      <c r="D122" s="25">
        <v>44927</v>
      </c>
      <c r="E122" s="26">
        <v>174</v>
      </c>
      <c r="F122" s="26">
        <v>208.3</v>
      </c>
      <c r="G122" s="26">
        <v>192.9</v>
      </c>
      <c r="H122" s="26">
        <v>174.3</v>
      </c>
      <c r="I122" s="26">
        <v>192.6</v>
      </c>
      <c r="J122" s="26">
        <v>156.30000000000001</v>
      </c>
      <c r="K122" s="26">
        <v>142.9</v>
      </c>
      <c r="L122" s="26">
        <v>170.7</v>
      </c>
      <c r="M122" s="26">
        <v>120.3</v>
      </c>
      <c r="N122" s="26">
        <v>210.5</v>
      </c>
      <c r="O122" s="26">
        <v>176.9</v>
      </c>
      <c r="P122" s="26">
        <v>188.5</v>
      </c>
      <c r="Q122" s="26">
        <v>175</v>
      </c>
      <c r="R122" s="26">
        <v>196.9</v>
      </c>
      <c r="S122" s="26">
        <v>189</v>
      </c>
      <c r="T122" s="26">
        <v>186.3</v>
      </c>
      <c r="U122" s="26">
        <v>188.6</v>
      </c>
      <c r="V122" s="26" t="s">
        <v>33</v>
      </c>
      <c r="W122" s="26">
        <v>183.2</v>
      </c>
      <c r="X122" s="26">
        <v>177.2</v>
      </c>
      <c r="Y122" s="26">
        <v>184.7</v>
      </c>
      <c r="Z122" s="26">
        <v>168.2</v>
      </c>
      <c r="AA122" s="26">
        <v>171.8</v>
      </c>
      <c r="AB122" s="26">
        <v>177.8</v>
      </c>
      <c r="AC122" s="26">
        <v>178.4</v>
      </c>
      <c r="AD122" s="26">
        <v>176.5</v>
      </c>
      <c r="AE122" s="26">
        <v>177.8</v>
      </c>
      <c r="AF122" s="26">
        <v>2283.2000000000003</v>
      </c>
      <c r="AG122" s="26">
        <v>563.9</v>
      </c>
      <c r="AH122" s="26">
        <v>360.4</v>
      </c>
      <c r="AI122" s="26">
        <v>363.1</v>
      </c>
      <c r="AJ122" s="26">
        <v>348.3</v>
      </c>
      <c r="AK122" s="26">
        <v>4461.8000000000011</v>
      </c>
    </row>
    <row r="123" spans="1:37" x14ac:dyDescent="0.25">
      <c r="A123" t="s">
        <v>31</v>
      </c>
      <c r="B123">
        <v>2023</v>
      </c>
      <c r="C123" t="s">
        <v>36</v>
      </c>
      <c r="D123" s="25">
        <v>44958</v>
      </c>
      <c r="E123" s="26">
        <v>174.2</v>
      </c>
      <c r="F123" s="26">
        <v>205.2</v>
      </c>
      <c r="G123" s="26">
        <v>173.9</v>
      </c>
      <c r="H123" s="26">
        <v>177</v>
      </c>
      <c r="I123" s="26">
        <v>183.4</v>
      </c>
      <c r="J123" s="26">
        <v>167.2</v>
      </c>
      <c r="K123" s="26">
        <v>140.9</v>
      </c>
      <c r="L123" s="26">
        <v>170.4</v>
      </c>
      <c r="M123" s="26">
        <v>119.1</v>
      </c>
      <c r="N123" s="26">
        <v>212.1</v>
      </c>
      <c r="O123" s="26">
        <v>177.6</v>
      </c>
      <c r="P123" s="26">
        <v>189.9</v>
      </c>
      <c r="Q123" s="26">
        <v>174.8</v>
      </c>
      <c r="R123" s="26">
        <v>198.3</v>
      </c>
      <c r="S123" s="26">
        <v>190</v>
      </c>
      <c r="T123" s="26">
        <v>187</v>
      </c>
      <c r="U123" s="26">
        <v>189.6</v>
      </c>
      <c r="V123" s="26" t="s">
        <v>33</v>
      </c>
      <c r="W123" s="26">
        <v>181.6</v>
      </c>
      <c r="X123" s="26">
        <v>178.6</v>
      </c>
      <c r="Y123" s="26">
        <v>186.6</v>
      </c>
      <c r="Z123" s="26">
        <v>169</v>
      </c>
      <c r="AA123" s="26">
        <v>172.8</v>
      </c>
      <c r="AB123" s="26">
        <v>178.5</v>
      </c>
      <c r="AC123" s="26">
        <v>180.7</v>
      </c>
      <c r="AD123" s="26">
        <v>177.9</v>
      </c>
      <c r="AE123" s="26">
        <v>178</v>
      </c>
      <c r="AF123" s="26">
        <v>2265.6999999999998</v>
      </c>
      <c r="AG123" s="26">
        <v>566.6</v>
      </c>
      <c r="AH123" s="26">
        <v>360.2</v>
      </c>
      <c r="AI123" s="26">
        <v>367.29999999999995</v>
      </c>
      <c r="AJ123" s="26">
        <v>350.70000000000005</v>
      </c>
      <c r="AK123" s="26">
        <v>4456.2999999999993</v>
      </c>
    </row>
    <row r="124" spans="1:37" x14ac:dyDescent="0.25">
      <c r="A124" t="s">
        <v>31</v>
      </c>
      <c r="B124">
        <v>2023</v>
      </c>
      <c r="C124" t="s">
        <v>37</v>
      </c>
      <c r="D124" s="25">
        <v>44986</v>
      </c>
      <c r="E124" s="26">
        <v>174.3</v>
      </c>
      <c r="F124" s="26">
        <v>205.2</v>
      </c>
      <c r="G124" s="26">
        <v>173.9</v>
      </c>
      <c r="H124" s="26">
        <v>177</v>
      </c>
      <c r="I124" s="26">
        <v>183.3</v>
      </c>
      <c r="J124" s="26">
        <v>167.2</v>
      </c>
      <c r="K124" s="26">
        <v>140.9</v>
      </c>
      <c r="L124" s="26">
        <v>170.5</v>
      </c>
      <c r="M124" s="26">
        <v>119.1</v>
      </c>
      <c r="N124" s="26">
        <v>212.1</v>
      </c>
      <c r="O124" s="26">
        <v>177.6</v>
      </c>
      <c r="P124" s="26">
        <v>189.9</v>
      </c>
      <c r="Q124" s="26">
        <v>174.8</v>
      </c>
      <c r="R124" s="26">
        <v>198.4</v>
      </c>
      <c r="S124" s="26">
        <v>190</v>
      </c>
      <c r="T124" s="26">
        <v>187</v>
      </c>
      <c r="U124" s="26">
        <v>189.6</v>
      </c>
      <c r="V124" s="26" t="s">
        <v>33</v>
      </c>
      <c r="W124" s="26">
        <v>181.4</v>
      </c>
      <c r="X124" s="26">
        <v>178.6</v>
      </c>
      <c r="Y124" s="26">
        <v>186.6</v>
      </c>
      <c r="Z124" s="26">
        <v>169</v>
      </c>
      <c r="AA124" s="26">
        <v>172.8</v>
      </c>
      <c r="AB124" s="26">
        <v>178.5</v>
      </c>
      <c r="AC124" s="26">
        <v>180.7</v>
      </c>
      <c r="AD124" s="26">
        <v>177.9</v>
      </c>
      <c r="AE124" s="26">
        <v>178</v>
      </c>
      <c r="AF124" s="26">
        <v>2265.8000000000002</v>
      </c>
      <c r="AG124" s="26">
        <v>566.6</v>
      </c>
      <c r="AH124" s="26">
        <v>360</v>
      </c>
      <c r="AI124" s="26">
        <v>367.29999999999995</v>
      </c>
      <c r="AJ124" s="26">
        <v>350.70000000000005</v>
      </c>
      <c r="AK124" s="26">
        <v>4456.3</v>
      </c>
    </row>
    <row r="125" spans="1:37" x14ac:dyDescent="0.25">
      <c r="A125" t="s">
        <v>31</v>
      </c>
      <c r="B125">
        <v>2023</v>
      </c>
      <c r="C125" t="s">
        <v>38</v>
      </c>
      <c r="D125" s="25">
        <v>45017</v>
      </c>
      <c r="E125" s="26">
        <v>173.3</v>
      </c>
      <c r="F125" s="26">
        <v>206.9</v>
      </c>
      <c r="G125" s="26">
        <v>167.9</v>
      </c>
      <c r="H125" s="26">
        <v>178.2</v>
      </c>
      <c r="I125" s="26">
        <v>178.5</v>
      </c>
      <c r="J125" s="26">
        <v>173.7</v>
      </c>
      <c r="K125" s="26">
        <v>142.80000000000001</v>
      </c>
      <c r="L125" s="26">
        <v>172.8</v>
      </c>
      <c r="M125" s="26">
        <v>120.4</v>
      </c>
      <c r="N125" s="26">
        <v>215.5</v>
      </c>
      <c r="O125" s="26">
        <v>178.2</v>
      </c>
      <c r="P125" s="26">
        <v>190.5</v>
      </c>
      <c r="Q125" s="26">
        <v>175.5</v>
      </c>
      <c r="R125" s="26">
        <v>199.5</v>
      </c>
      <c r="S125" s="26">
        <v>190.7</v>
      </c>
      <c r="T125" s="26">
        <v>187.3</v>
      </c>
      <c r="U125" s="26">
        <v>190.2</v>
      </c>
      <c r="V125" s="26" t="s">
        <v>33</v>
      </c>
      <c r="W125" s="26">
        <v>181.5</v>
      </c>
      <c r="X125" s="26">
        <v>179.1</v>
      </c>
      <c r="Y125" s="26">
        <v>187.2</v>
      </c>
      <c r="Z125" s="26">
        <v>169.4</v>
      </c>
      <c r="AA125" s="26">
        <v>173.2</v>
      </c>
      <c r="AB125" s="26">
        <v>179.4</v>
      </c>
      <c r="AC125" s="26">
        <v>183.8</v>
      </c>
      <c r="AD125" s="26">
        <v>178.9</v>
      </c>
      <c r="AE125" s="26">
        <v>178.8</v>
      </c>
      <c r="AF125" s="26">
        <v>2274.1999999999998</v>
      </c>
      <c r="AG125" s="26">
        <v>568.20000000000005</v>
      </c>
      <c r="AH125" s="26">
        <v>360.6</v>
      </c>
      <c r="AI125" s="26">
        <v>371</v>
      </c>
      <c r="AJ125" s="26">
        <v>352.1</v>
      </c>
      <c r="AK125" s="26">
        <v>4474.3999999999996</v>
      </c>
    </row>
    <row r="126" spans="1:37" x14ac:dyDescent="0.25">
      <c r="A126" t="s">
        <v>31</v>
      </c>
      <c r="B126">
        <v>2023</v>
      </c>
      <c r="C126" t="s">
        <v>39</v>
      </c>
      <c r="D126" s="25">
        <v>45047</v>
      </c>
      <c r="E126" s="26">
        <v>173.2</v>
      </c>
      <c r="F126" s="26">
        <v>211.5</v>
      </c>
      <c r="G126" s="26">
        <v>171</v>
      </c>
      <c r="H126" s="26">
        <v>179.6</v>
      </c>
      <c r="I126" s="26">
        <v>173.3</v>
      </c>
      <c r="J126" s="26">
        <v>169</v>
      </c>
      <c r="K126" s="26">
        <v>148.69999999999999</v>
      </c>
      <c r="L126" s="26">
        <v>174.9</v>
      </c>
      <c r="M126" s="26">
        <v>121.9</v>
      </c>
      <c r="N126" s="26">
        <v>221</v>
      </c>
      <c r="O126" s="26">
        <v>178.7</v>
      </c>
      <c r="P126" s="26">
        <v>191.1</v>
      </c>
      <c r="Q126" s="26">
        <v>176.8</v>
      </c>
      <c r="R126" s="26">
        <v>199.9</v>
      </c>
      <c r="S126" s="26">
        <v>191.2</v>
      </c>
      <c r="T126" s="26">
        <v>187.9</v>
      </c>
      <c r="U126" s="26">
        <v>190.8</v>
      </c>
      <c r="V126" s="26" t="s">
        <v>33</v>
      </c>
      <c r="W126" s="26">
        <v>182.5</v>
      </c>
      <c r="X126" s="26">
        <v>179.8</v>
      </c>
      <c r="Y126" s="26">
        <v>187.8</v>
      </c>
      <c r="Z126" s="26">
        <v>169.7</v>
      </c>
      <c r="AA126" s="26">
        <v>173.8</v>
      </c>
      <c r="AB126" s="26">
        <v>180.3</v>
      </c>
      <c r="AC126" s="26">
        <v>184.9</v>
      </c>
      <c r="AD126" s="26">
        <v>179.5</v>
      </c>
      <c r="AE126" s="26">
        <v>179.8</v>
      </c>
      <c r="AF126" s="26">
        <v>2290.7000000000007</v>
      </c>
      <c r="AG126" s="26">
        <v>569.90000000000009</v>
      </c>
      <c r="AH126" s="26">
        <v>362.3</v>
      </c>
      <c r="AI126" s="26">
        <v>372.70000000000005</v>
      </c>
      <c r="AJ126" s="26">
        <v>353.3</v>
      </c>
      <c r="AK126" s="26">
        <v>4498.8000000000011</v>
      </c>
    </row>
    <row r="127" spans="1:37" x14ac:dyDescent="0.25">
      <c r="A127" t="s">
        <v>35</v>
      </c>
      <c r="B127">
        <v>2013</v>
      </c>
      <c r="C127" t="s">
        <v>32</v>
      </c>
      <c r="D127" s="25">
        <v>41275</v>
      </c>
      <c r="E127" s="26">
        <v>108.4</v>
      </c>
      <c r="F127" s="26">
        <v>107.3</v>
      </c>
      <c r="G127" s="26">
        <v>110</v>
      </c>
      <c r="H127" s="26">
        <v>104.4</v>
      </c>
      <c r="I127" s="26">
        <v>105.1</v>
      </c>
      <c r="J127" s="26">
        <v>103.2</v>
      </c>
      <c r="K127" s="26">
        <v>102.2</v>
      </c>
      <c r="L127" s="26">
        <v>106</v>
      </c>
      <c r="M127" s="26">
        <v>106.2</v>
      </c>
      <c r="N127" s="26">
        <v>102.7</v>
      </c>
      <c r="O127" s="26">
        <v>104.9</v>
      </c>
      <c r="P127" s="26">
        <v>107.3</v>
      </c>
      <c r="Q127" s="26">
        <v>105.6</v>
      </c>
      <c r="R127" s="26">
        <v>105.1</v>
      </c>
      <c r="S127" s="26">
        <v>106.3</v>
      </c>
      <c r="T127" s="26">
        <v>105.5</v>
      </c>
      <c r="U127" s="26">
        <v>106.2</v>
      </c>
      <c r="V127" s="26">
        <v>100.3</v>
      </c>
      <c r="W127" s="26">
        <v>105.5</v>
      </c>
      <c r="X127" s="26">
        <v>104.8</v>
      </c>
      <c r="Y127" s="26">
        <v>104</v>
      </c>
      <c r="Z127" s="26">
        <v>103.2</v>
      </c>
      <c r="AA127" s="26">
        <v>103.1</v>
      </c>
      <c r="AB127" s="26">
        <v>103.6</v>
      </c>
      <c r="AC127" s="26">
        <v>104.5</v>
      </c>
      <c r="AD127" s="26">
        <v>103.9</v>
      </c>
      <c r="AE127" s="26">
        <v>104.6</v>
      </c>
      <c r="AF127" s="26">
        <v>1373.3000000000002</v>
      </c>
      <c r="AG127" s="26">
        <v>318</v>
      </c>
      <c r="AH127" s="26">
        <v>310.60000000000002</v>
      </c>
      <c r="AI127" s="26">
        <v>208.5</v>
      </c>
      <c r="AJ127" s="26">
        <v>207</v>
      </c>
      <c r="AK127" s="26">
        <v>2729.3</v>
      </c>
    </row>
    <row r="128" spans="1:37" x14ac:dyDescent="0.25">
      <c r="A128" t="s">
        <v>35</v>
      </c>
      <c r="B128">
        <v>2013</v>
      </c>
      <c r="C128" t="s">
        <v>36</v>
      </c>
      <c r="D128" s="25">
        <v>41306</v>
      </c>
      <c r="E128" s="26">
        <v>110.4</v>
      </c>
      <c r="F128" s="26">
        <v>110.2</v>
      </c>
      <c r="G128" s="26">
        <v>112.8</v>
      </c>
      <c r="H128" s="26">
        <v>104.9</v>
      </c>
      <c r="I128" s="26">
        <v>105.5</v>
      </c>
      <c r="J128" s="26">
        <v>103.6</v>
      </c>
      <c r="K128" s="26">
        <v>103.2</v>
      </c>
      <c r="L128" s="26">
        <v>105.3</v>
      </c>
      <c r="M128" s="26">
        <v>105.1</v>
      </c>
      <c r="N128" s="26">
        <v>102.8</v>
      </c>
      <c r="O128" s="26">
        <v>105.5</v>
      </c>
      <c r="P128" s="26">
        <v>108.3</v>
      </c>
      <c r="Q128" s="26">
        <v>106.6</v>
      </c>
      <c r="R128" s="26">
        <v>105.7</v>
      </c>
      <c r="S128" s="26">
        <v>106.9</v>
      </c>
      <c r="T128" s="26">
        <v>106</v>
      </c>
      <c r="U128" s="26">
        <v>106.8</v>
      </c>
      <c r="V128" s="26">
        <v>100.4</v>
      </c>
      <c r="W128" s="26">
        <v>106</v>
      </c>
      <c r="X128" s="26">
        <v>105.2</v>
      </c>
      <c r="Y128" s="26">
        <v>104.5</v>
      </c>
      <c r="Z128" s="26">
        <v>104.2</v>
      </c>
      <c r="AA128" s="26">
        <v>103.6</v>
      </c>
      <c r="AB128" s="26">
        <v>103.9</v>
      </c>
      <c r="AC128" s="26">
        <v>104.5</v>
      </c>
      <c r="AD128" s="26">
        <v>104.4</v>
      </c>
      <c r="AE128" s="26">
        <v>105.3</v>
      </c>
      <c r="AF128" s="26">
        <v>1384.2</v>
      </c>
      <c r="AG128" s="26">
        <v>319.7</v>
      </c>
      <c r="AH128" s="26">
        <v>311.60000000000002</v>
      </c>
      <c r="AI128" s="26">
        <v>209</v>
      </c>
      <c r="AJ128" s="26">
        <v>208</v>
      </c>
      <c r="AK128" s="26">
        <v>2746.3</v>
      </c>
    </row>
    <row r="129" spans="1:37" x14ac:dyDescent="0.25">
      <c r="A129" t="s">
        <v>35</v>
      </c>
      <c r="B129">
        <v>2013</v>
      </c>
      <c r="C129" t="s">
        <v>37</v>
      </c>
      <c r="D129" s="25">
        <v>41334</v>
      </c>
      <c r="E129" s="26">
        <v>111.4</v>
      </c>
      <c r="F129" s="26">
        <v>109.7</v>
      </c>
      <c r="G129" s="26">
        <v>111.2</v>
      </c>
      <c r="H129" s="26">
        <v>105.1</v>
      </c>
      <c r="I129" s="26">
        <v>104.9</v>
      </c>
      <c r="J129" s="26">
        <v>105.3</v>
      </c>
      <c r="K129" s="26">
        <v>102.2</v>
      </c>
      <c r="L129" s="26">
        <v>105</v>
      </c>
      <c r="M129" s="26">
        <v>104.2</v>
      </c>
      <c r="N129" s="26">
        <v>103</v>
      </c>
      <c r="O129" s="26">
        <v>106.2</v>
      </c>
      <c r="P129" s="26">
        <v>108.9</v>
      </c>
      <c r="Q129" s="26">
        <v>106.9</v>
      </c>
      <c r="R129" s="26">
        <v>106.6</v>
      </c>
      <c r="S129" s="26">
        <v>107.4</v>
      </c>
      <c r="T129" s="26">
        <v>106.5</v>
      </c>
      <c r="U129" s="26">
        <v>107.3</v>
      </c>
      <c r="V129" s="26">
        <v>100.4</v>
      </c>
      <c r="W129" s="26">
        <v>106.1</v>
      </c>
      <c r="X129" s="26">
        <v>105.6</v>
      </c>
      <c r="Y129" s="26">
        <v>104.9</v>
      </c>
      <c r="Z129" s="26">
        <v>105.1</v>
      </c>
      <c r="AA129" s="26">
        <v>103.7</v>
      </c>
      <c r="AB129" s="26">
        <v>104</v>
      </c>
      <c r="AC129" s="26">
        <v>104.3</v>
      </c>
      <c r="AD129" s="26">
        <v>104.7</v>
      </c>
      <c r="AE129" s="26">
        <v>105.5</v>
      </c>
      <c r="AF129" s="26">
        <v>1384.0000000000002</v>
      </c>
      <c r="AG129" s="26">
        <v>321.2</v>
      </c>
      <c r="AH129" s="26">
        <v>312.10000000000002</v>
      </c>
      <c r="AI129" s="26">
        <v>209.2</v>
      </c>
      <c r="AJ129" s="26">
        <v>208.4</v>
      </c>
      <c r="AK129" s="26">
        <v>2750.6000000000004</v>
      </c>
    </row>
    <row r="130" spans="1:37" x14ac:dyDescent="0.25">
      <c r="A130" t="s">
        <v>35</v>
      </c>
      <c r="B130">
        <v>2013</v>
      </c>
      <c r="C130" t="s">
        <v>38</v>
      </c>
      <c r="D130" s="25">
        <v>41365</v>
      </c>
      <c r="E130" s="26">
        <v>111.6</v>
      </c>
      <c r="F130" s="26">
        <v>110.9</v>
      </c>
      <c r="G130" s="26">
        <v>106.6</v>
      </c>
      <c r="H130" s="26">
        <v>105.7</v>
      </c>
      <c r="I130" s="26">
        <v>104.4</v>
      </c>
      <c r="J130" s="26">
        <v>108.9</v>
      </c>
      <c r="K130" s="26">
        <v>105.5</v>
      </c>
      <c r="L130" s="26">
        <v>105.3</v>
      </c>
      <c r="M130" s="26">
        <v>103.5</v>
      </c>
      <c r="N130" s="26">
        <v>103.3</v>
      </c>
      <c r="O130" s="26">
        <v>107.2</v>
      </c>
      <c r="P130" s="26">
        <v>109.6</v>
      </c>
      <c r="Q130" s="26">
        <v>107.7</v>
      </c>
      <c r="R130" s="26">
        <v>107.5</v>
      </c>
      <c r="S130" s="26">
        <v>108</v>
      </c>
      <c r="T130" s="26">
        <v>107</v>
      </c>
      <c r="U130" s="26">
        <v>107.9</v>
      </c>
      <c r="V130" s="26">
        <v>100.5</v>
      </c>
      <c r="W130" s="26">
        <v>106.5</v>
      </c>
      <c r="X130" s="26">
        <v>106.3</v>
      </c>
      <c r="Y130" s="26">
        <v>105.3</v>
      </c>
      <c r="Z130" s="26">
        <v>104.7</v>
      </c>
      <c r="AA130" s="26">
        <v>104.2</v>
      </c>
      <c r="AB130" s="26">
        <v>105</v>
      </c>
      <c r="AC130" s="26">
        <v>102.9</v>
      </c>
      <c r="AD130" s="26">
        <v>104.8</v>
      </c>
      <c r="AE130" s="26">
        <v>106.1</v>
      </c>
      <c r="AF130" s="26">
        <v>1390.2</v>
      </c>
      <c r="AG130" s="26">
        <v>322.89999999999998</v>
      </c>
      <c r="AH130" s="26">
        <v>313.3</v>
      </c>
      <c r="AI130" s="26">
        <v>208.2</v>
      </c>
      <c r="AJ130" s="26">
        <v>209</v>
      </c>
      <c r="AK130" s="26">
        <v>2760.8</v>
      </c>
    </row>
    <row r="131" spans="1:37" x14ac:dyDescent="0.25">
      <c r="A131" t="s">
        <v>35</v>
      </c>
      <c r="B131">
        <v>2013</v>
      </c>
      <c r="C131" t="s">
        <v>39</v>
      </c>
      <c r="D131" s="25">
        <v>41395</v>
      </c>
      <c r="E131" s="26">
        <v>112.3</v>
      </c>
      <c r="F131" s="26">
        <v>111.3</v>
      </c>
      <c r="G131" s="26">
        <v>104.7</v>
      </c>
      <c r="H131" s="26">
        <v>106.8</v>
      </c>
      <c r="I131" s="26">
        <v>103.9</v>
      </c>
      <c r="J131" s="26">
        <v>109.3</v>
      </c>
      <c r="K131" s="26">
        <v>112.9</v>
      </c>
      <c r="L131" s="26">
        <v>105.8</v>
      </c>
      <c r="M131" s="26">
        <v>103.1</v>
      </c>
      <c r="N131" s="26">
        <v>104.3</v>
      </c>
      <c r="O131" s="26">
        <v>108.1</v>
      </c>
      <c r="P131" s="26">
        <v>110.5</v>
      </c>
      <c r="Q131" s="26">
        <v>109.2</v>
      </c>
      <c r="R131" s="26">
        <v>108.6</v>
      </c>
      <c r="S131" s="26">
        <v>108.7</v>
      </c>
      <c r="T131" s="26">
        <v>107.4</v>
      </c>
      <c r="U131" s="26">
        <v>108.5</v>
      </c>
      <c r="V131" s="26">
        <v>100.5</v>
      </c>
      <c r="W131" s="26">
        <v>107.4</v>
      </c>
      <c r="X131" s="26">
        <v>106.9</v>
      </c>
      <c r="Y131" s="26">
        <v>105.9</v>
      </c>
      <c r="Z131" s="26">
        <v>104</v>
      </c>
      <c r="AA131" s="26">
        <v>104.8</v>
      </c>
      <c r="AB131" s="26">
        <v>105.6</v>
      </c>
      <c r="AC131" s="26">
        <v>102.3</v>
      </c>
      <c r="AD131" s="26">
        <v>104.8</v>
      </c>
      <c r="AE131" s="26">
        <v>106.9</v>
      </c>
      <c r="AF131" s="26">
        <v>1402.1999999999998</v>
      </c>
      <c r="AG131" s="26">
        <v>324.60000000000002</v>
      </c>
      <c r="AH131" s="26">
        <v>314.8</v>
      </c>
      <c r="AI131" s="26">
        <v>208.2</v>
      </c>
      <c r="AJ131" s="26">
        <v>209.6</v>
      </c>
      <c r="AK131" s="26">
        <v>2777.6</v>
      </c>
    </row>
    <row r="132" spans="1:37" x14ac:dyDescent="0.25">
      <c r="A132" t="s">
        <v>35</v>
      </c>
      <c r="B132">
        <v>2013</v>
      </c>
      <c r="C132" t="s">
        <v>40</v>
      </c>
      <c r="D132" s="25">
        <v>41426</v>
      </c>
      <c r="E132" s="26">
        <v>113.8</v>
      </c>
      <c r="F132" s="26">
        <v>114.9</v>
      </c>
      <c r="G132" s="26">
        <v>109.8</v>
      </c>
      <c r="H132" s="26">
        <v>107.9</v>
      </c>
      <c r="I132" s="26">
        <v>104.2</v>
      </c>
      <c r="J132" s="26">
        <v>110.7</v>
      </c>
      <c r="K132" s="26">
        <v>126.7</v>
      </c>
      <c r="L132" s="26">
        <v>106.3</v>
      </c>
      <c r="M132" s="26">
        <v>103.2</v>
      </c>
      <c r="N132" s="26">
        <v>105.7</v>
      </c>
      <c r="O132" s="26">
        <v>109</v>
      </c>
      <c r="P132" s="26">
        <v>111.6</v>
      </c>
      <c r="Q132" s="26">
        <v>112.2</v>
      </c>
      <c r="R132" s="26">
        <v>109.5</v>
      </c>
      <c r="S132" s="26">
        <v>109.5</v>
      </c>
      <c r="T132" s="26">
        <v>108.1</v>
      </c>
      <c r="U132" s="26">
        <v>109.3</v>
      </c>
      <c r="V132" s="26">
        <v>106.6</v>
      </c>
      <c r="W132" s="26">
        <v>108.3</v>
      </c>
      <c r="X132" s="26">
        <v>107.6</v>
      </c>
      <c r="Y132" s="26">
        <v>106.4</v>
      </c>
      <c r="Z132" s="26">
        <v>105.1</v>
      </c>
      <c r="AA132" s="26">
        <v>105.4</v>
      </c>
      <c r="AB132" s="26">
        <v>107.4</v>
      </c>
      <c r="AC132" s="26">
        <v>102.8</v>
      </c>
      <c r="AD132" s="26">
        <v>105.8</v>
      </c>
      <c r="AE132" s="26">
        <v>109.3</v>
      </c>
      <c r="AF132" s="26">
        <v>1436</v>
      </c>
      <c r="AG132" s="26">
        <v>326.89999999999998</v>
      </c>
      <c r="AH132" s="26">
        <v>322.5</v>
      </c>
      <c r="AI132" s="26">
        <v>209.2</v>
      </c>
      <c r="AJ132" s="26">
        <v>211.2</v>
      </c>
      <c r="AK132" s="26">
        <v>2827.7999999999997</v>
      </c>
    </row>
    <row r="133" spans="1:37" x14ac:dyDescent="0.25">
      <c r="A133" t="s">
        <v>35</v>
      </c>
      <c r="B133">
        <v>2013</v>
      </c>
      <c r="C133" t="s">
        <v>41</v>
      </c>
      <c r="D133" s="25">
        <v>41456</v>
      </c>
      <c r="E133" s="26">
        <v>114.8</v>
      </c>
      <c r="F133" s="26">
        <v>116.4</v>
      </c>
      <c r="G133" s="26">
        <v>111.9</v>
      </c>
      <c r="H133" s="26">
        <v>108.9</v>
      </c>
      <c r="I133" s="26">
        <v>104.3</v>
      </c>
      <c r="J133" s="26">
        <v>111.7</v>
      </c>
      <c r="K133" s="26">
        <v>140</v>
      </c>
      <c r="L133" s="26">
        <v>106.4</v>
      </c>
      <c r="M133" s="26">
        <v>103.3</v>
      </c>
      <c r="N133" s="26">
        <v>106.8</v>
      </c>
      <c r="O133" s="26">
        <v>109.6</v>
      </c>
      <c r="P133" s="26">
        <v>112.6</v>
      </c>
      <c r="Q133" s="26">
        <v>114.7</v>
      </c>
      <c r="R133" s="26">
        <v>110.3</v>
      </c>
      <c r="S133" s="26">
        <v>110.2</v>
      </c>
      <c r="T133" s="26">
        <v>108.8</v>
      </c>
      <c r="U133" s="26">
        <v>110</v>
      </c>
      <c r="V133" s="26">
        <v>107.7</v>
      </c>
      <c r="W133" s="26">
        <v>109.2</v>
      </c>
      <c r="X133" s="26">
        <v>108.2</v>
      </c>
      <c r="Y133" s="26">
        <v>107</v>
      </c>
      <c r="Z133" s="26">
        <v>107.1</v>
      </c>
      <c r="AA133" s="26">
        <v>106.1</v>
      </c>
      <c r="AB133" s="26">
        <v>109.1</v>
      </c>
      <c r="AC133" s="26">
        <v>102.8</v>
      </c>
      <c r="AD133" s="26">
        <v>106.9</v>
      </c>
      <c r="AE133" s="26">
        <v>111</v>
      </c>
      <c r="AF133" s="26">
        <v>1461.3999999999999</v>
      </c>
      <c r="AG133" s="26">
        <v>329</v>
      </c>
      <c r="AH133" s="26">
        <v>325.10000000000002</v>
      </c>
      <c r="AI133" s="26">
        <v>209.8</v>
      </c>
      <c r="AJ133" s="26">
        <v>213</v>
      </c>
      <c r="AK133" s="26">
        <v>2864.7999999999997</v>
      </c>
    </row>
    <row r="134" spans="1:37" x14ac:dyDescent="0.25">
      <c r="A134" t="s">
        <v>35</v>
      </c>
      <c r="B134">
        <v>2013</v>
      </c>
      <c r="C134" t="s">
        <v>42</v>
      </c>
      <c r="D134" s="25">
        <v>41487</v>
      </c>
      <c r="E134" s="26">
        <v>115.6</v>
      </c>
      <c r="F134" s="26">
        <v>117.2</v>
      </c>
      <c r="G134" s="26">
        <v>111.7</v>
      </c>
      <c r="H134" s="26">
        <v>109.6</v>
      </c>
      <c r="I134" s="26">
        <v>104.5</v>
      </c>
      <c r="J134" s="26">
        <v>109.8</v>
      </c>
      <c r="K134" s="26">
        <v>151.80000000000001</v>
      </c>
      <c r="L134" s="26">
        <v>106.5</v>
      </c>
      <c r="M134" s="26">
        <v>103.1</v>
      </c>
      <c r="N134" s="26">
        <v>107.4</v>
      </c>
      <c r="O134" s="26">
        <v>110.2</v>
      </c>
      <c r="P134" s="26">
        <v>113.4</v>
      </c>
      <c r="Q134" s="26">
        <v>116.6</v>
      </c>
      <c r="R134" s="26">
        <v>111.2</v>
      </c>
      <c r="S134" s="26">
        <v>111</v>
      </c>
      <c r="T134" s="26">
        <v>109.4</v>
      </c>
      <c r="U134" s="26">
        <v>110.7</v>
      </c>
      <c r="V134" s="26">
        <v>108.9</v>
      </c>
      <c r="W134" s="26">
        <v>109.7</v>
      </c>
      <c r="X134" s="26">
        <v>108.7</v>
      </c>
      <c r="Y134" s="26">
        <v>107.5</v>
      </c>
      <c r="Z134" s="26">
        <v>108</v>
      </c>
      <c r="AA134" s="26">
        <v>106.6</v>
      </c>
      <c r="AB134" s="26">
        <v>109.9</v>
      </c>
      <c r="AC134" s="26">
        <v>105.4</v>
      </c>
      <c r="AD134" s="26">
        <v>107.9</v>
      </c>
      <c r="AE134" s="26">
        <v>112.4</v>
      </c>
      <c r="AF134" s="26">
        <v>1477.4</v>
      </c>
      <c r="AG134" s="26">
        <v>331.1</v>
      </c>
      <c r="AH134" s="26">
        <v>327.3</v>
      </c>
      <c r="AI134" s="26">
        <v>212.9</v>
      </c>
      <c r="AJ134" s="26">
        <v>214.5</v>
      </c>
      <c r="AK134" s="26">
        <v>2892.3</v>
      </c>
    </row>
    <row r="135" spans="1:37" x14ac:dyDescent="0.25">
      <c r="A135" t="s">
        <v>35</v>
      </c>
      <c r="B135">
        <v>2013</v>
      </c>
      <c r="C135" t="s">
        <v>43</v>
      </c>
      <c r="D135" s="25">
        <v>41518</v>
      </c>
      <c r="E135" s="26">
        <v>116.4</v>
      </c>
      <c r="F135" s="26">
        <v>116.9</v>
      </c>
      <c r="G135" s="26">
        <v>112.3</v>
      </c>
      <c r="H135" s="26">
        <v>110.5</v>
      </c>
      <c r="I135" s="26">
        <v>105.3</v>
      </c>
      <c r="J135" s="26">
        <v>107.3</v>
      </c>
      <c r="K135" s="26">
        <v>160.9</v>
      </c>
      <c r="L135" s="26">
        <v>107.1</v>
      </c>
      <c r="M135" s="26">
        <v>103.1</v>
      </c>
      <c r="N135" s="26">
        <v>108.3</v>
      </c>
      <c r="O135" s="26">
        <v>110.7</v>
      </c>
      <c r="P135" s="26">
        <v>114.6</v>
      </c>
      <c r="Q135" s="26">
        <v>118.3</v>
      </c>
      <c r="R135" s="26">
        <v>112</v>
      </c>
      <c r="S135" s="26">
        <v>112.2</v>
      </c>
      <c r="T135" s="26">
        <v>110.4</v>
      </c>
      <c r="U135" s="26">
        <v>111.9</v>
      </c>
      <c r="V135" s="26">
        <v>109.7</v>
      </c>
      <c r="W135" s="26">
        <v>110.5</v>
      </c>
      <c r="X135" s="26">
        <v>109.6</v>
      </c>
      <c r="Y135" s="26">
        <v>108.1</v>
      </c>
      <c r="Z135" s="26">
        <v>109.9</v>
      </c>
      <c r="AA135" s="26">
        <v>107.5</v>
      </c>
      <c r="AB135" s="26">
        <v>110.6</v>
      </c>
      <c r="AC135" s="26">
        <v>106.8</v>
      </c>
      <c r="AD135" s="26">
        <v>109</v>
      </c>
      <c r="AE135" s="26">
        <v>113.7</v>
      </c>
      <c r="AF135" s="26">
        <v>1491.6999999999998</v>
      </c>
      <c r="AG135" s="26">
        <v>334.5</v>
      </c>
      <c r="AH135" s="26">
        <v>329.79999999999995</v>
      </c>
      <c r="AI135" s="26">
        <v>214.89999999999998</v>
      </c>
      <c r="AJ135" s="26">
        <v>216.5</v>
      </c>
      <c r="AK135" s="26">
        <v>2919.9</v>
      </c>
    </row>
    <row r="136" spans="1:37" x14ac:dyDescent="0.25">
      <c r="A136" t="s">
        <v>35</v>
      </c>
      <c r="B136">
        <v>2013</v>
      </c>
      <c r="C136" t="s">
        <v>44</v>
      </c>
      <c r="D136" s="25">
        <v>41548</v>
      </c>
      <c r="E136" s="26">
        <v>117.1</v>
      </c>
      <c r="F136" s="26">
        <v>116.3</v>
      </c>
      <c r="G136" s="26">
        <v>113.3</v>
      </c>
      <c r="H136" s="26">
        <v>111.2</v>
      </c>
      <c r="I136" s="26">
        <v>105.7</v>
      </c>
      <c r="J136" s="26">
        <v>109.9</v>
      </c>
      <c r="K136" s="26">
        <v>171.2</v>
      </c>
      <c r="L136" s="26">
        <v>107.3</v>
      </c>
      <c r="M136" s="26">
        <v>102.7</v>
      </c>
      <c r="N136" s="26">
        <v>108.7</v>
      </c>
      <c r="O136" s="26">
        <v>111.2</v>
      </c>
      <c r="P136" s="26">
        <v>115.4</v>
      </c>
      <c r="Q136" s="26">
        <v>120.2</v>
      </c>
      <c r="R136" s="26">
        <v>112.5</v>
      </c>
      <c r="S136" s="26">
        <v>113.2</v>
      </c>
      <c r="T136" s="26">
        <v>111.2</v>
      </c>
      <c r="U136" s="26">
        <v>112.8</v>
      </c>
      <c r="V136" s="26">
        <v>110.5</v>
      </c>
      <c r="W136" s="26">
        <v>110.9</v>
      </c>
      <c r="X136" s="26">
        <v>110.3</v>
      </c>
      <c r="Y136" s="26">
        <v>108.6</v>
      </c>
      <c r="Z136" s="26">
        <v>109.5</v>
      </c>
      <c r="AA136" s="26">
        <v>108.1</v>
      </c>
      <c r="AB136" s="26">
        <v>110.8</v>
      </c>
      <c r="AC136" s="26">
        <v>107.4</v>
      </c>
      <c r="AD136" s="26">
        <v>109.2</v>
      </c>
      <c r="AE136" s="26">
        <v>114.8</v>
      </c>
      <c r="AF136" s="26">
        <v>1510.2000000000003</v>
      </c>
      <c r="AG136" s="26">
        <v>337.2</v>
      </c>
      <c r="AH136" s="26">
        <v>331.7</v>
      </c>
      <c r="AI136" s="26">
        <v>216</v>
      </c>
      <c r="AJ136" s="26">
        <v>217.3</v>
      </c>
      <c r="AK136" s="26">
        <v>2945.2000000000003</v>
      </c>
    </row>
    <row r="137" spans="1:37" x14ac:dyDescent="0.25">
      <c r="A137" t="s">
        <v>35</v>
      </c>
      <c r="B137">
        <v>2013</v>
      </c>
      <c r="C137" t="s">
        <v>46</v>
      </c>
      <c r="D137" s="25">
        <v>41579</v>
      </c>
      <c r="E137" s="26">
        <v>118.1</v>
      </c>
      <c r="F137" s="26">
        <v>115.4</v>
      </c>
      <c r="G137" s="26">
        <v>118.7</v>
      </c>
      <c r="H137" s="26">
        <v>112.5</v>
      </c>
      <c r="I137" s="26">
        <v>106.8</v>
      </c>
      <c r="J137" s="26">
        <v>113.5</v>
      </c>
      <c r="K137" s="26">
        <v>183.1</v>
      </c>
      <c r="L137" s="26">
        <v>108.2</v>
      </c>
      <c r="M137" s="26">
        <v>102.2</v>
      </c>
      <c r="N137" s="26">
        <v>109.4</v>
      </c>
      <c r="O137" s="26">
        <v>111.8</v>
      </c>
      <c r="P137" s="26">
        <v>116.5</v>
      </c>
      <c r="Q137" s="26">
        <v>122.6</v>
      </c>
      <c r="R137" s="26">
        <v>113.1</v>
      </c>
      <c r="S137" s="26">
        <v>114.2</v>
      </c>
      <c r="T137" s="26">
        <v>111.9</v>
      </c>
      <c r="U137" s="26">
        <v>113.8</v>
      </c>
      <c r="V137" s="26">
        <v>111.1</v>
      </c>
      <c r="W137" s="26">
        <v>111.6</v>
      </c>
      <c r="X137" s="26">
        <v>111.1</v>
      </c>
      <c r="Y137" s="26">
        <v>109.3</v>
      </c>
      <c r="Z137" s="26">
        <v>109.5</v>
      </c>
      <c r="AA137" s="26">
        <v>108.6</v>
      </c>
      <c r="AB137" s="26">
        <v>111.2</v>
      </c>
      <c r="AC137" s="26">
        <v>108.1</v>
      </c>
      <c r="AD137" s="26">
        <v>109.7</v>
      </c>
      <c r="AE137" s="26">
        <v>116.3</v>
      </c>
      <c r="AF137" s="26">
        <v>1538.8</v>
      </c>
      <c r="AG137" s="26">
        <v>339.90000000000003</v>
      </c>
      <c r="AH137" s="26">
        <v>333.79999999999995</v>
      </c>
      <c r="AI137" s="26">
        <v>217.39999999999998</v>
      </c>
      <c r="AJ137" s="26">
        <v>218.3</v>
      </c>
      <c r="AK137" s="26">
        <v>2982.0000000000005</v>
      </c>
    </row>
    <row r="138" spans="1:37" x14ac:dyDescent="0.25">
      <c r="A138" t="s">
        <v>35</v>
      </c>
      <c r="B138">
        <v>2013</v>
      </c>
      <c r="C138" t="s">
        <v>47</v>
      </c>
      <c r="D138" s="25">
        <v>41609</v>
      </c>
      <c r="E138" s="26">
        <v>119.1</v>
      </c>
      <c r="F138" s="26">
        <v>116.7</v>
      </c>
      <c r="G138" s="26">
        <v>123.5</v>
      </c>
      <c r="H138" s="26">
        <v>113.4</v>
      </c>
      <c r="I138" s="26">
        <v>107.3</v>
      </c>
      <c r="J138" s="26">
        <v>113.3</v>
      </c>
      <c r="K138" s="26">
        <v>145.4</v>
      </c>
      <c r="L138" s="26">
        <v>108.7</v>
      </c>
      <c r="M138" s="26">
        <v>101.5</v>
      </c>
      <c r="N138" s="26">
        <v>110.5</v>
      </c>
      <c r="O138" s="26">
        <v>112.1</v>
      </c>
      <c r="P138" s="26">
        <v>117.4</v>
      </c>
      <c r="Q138" s="26">
        <v>118.4</v>
      </c>
      <c r="R138" s="26">
        <v>114</v>
      </c>
      <c r="S138" s="26">
        <v>115.2</v>
      </c>
      <c r="T138" s="26">
        <v>112.7</v>
      </c>
      <c r="U138" s="26">
        <v>114.8</v>
      </c>
      <c r="V138" s="26">
        <v>110.7</v>
      </c>
      <c r="W138" s="26">
        <v>111.9</v>
      </c>
      <c r="X138" s="26">
        <v>111.7</v>
      </c>
      <c r="Y138" s="26">
        <v>109.7</v>
      </c>
      <c r="Z138" s="26">
        <v>109.8</v>
      </c>
      <c r="AA138" s="26">
        <v>109</v>
      </c>
      <c r="AB138" s="26">
        <v>111.5</v>
      </c>
      <c r="AC138" s="26">
        <v>107.9</v>
      </c>
      <c r="AD138" s="26">
        <v>110</v>
      </c>
      <c r="AE138" s="26">
        <v>114.5</v>
      </c>
      <c r="AF138" s="26">
        <v>1507.3000000000002</v>
      </c>
      <c r="AG138" s="26">
        <v>342.7</v>
      </c>
      <c r="AH138" s="26">
        <v>334.3</v>
      </c>
      <c r="AI138" s="26">
        <v>217.60000000000002</v>
      </c>
      <c r="AJ138" s="26">
        <v>219</v>
      </c>
      <c r="AK138" s="26">
        <v>2956.2000000000003</v>
      </c>
    </row>
    <row r="139" spans="1:37" x14ac:dyDescent="0.25">
      <c r="A139" t="s">
        <v>35</v>
      </c>
      <c r="B139">
        <v>2014</v>
      </c>
      <c r="C139" t="s">
        <v>32</v>
      </c>
      <c r="D139" s="25">
        <v>41640</v>
      </c>
      <c r="E139" s="26">
        <v>119.6</v>
      </c>
      <c r="F139" s="26">
        <v>118.8</v>
      </c>
      <c r="G139" s="26">
        <v>124.1</v>
      </c>
      <c r="H139" s="26">
        <v>114.1</v>
      </c>
      <c r="I139" s="26">
        <v>106.8</v>
      </c>
      <c r="J139" s="26">
        <v>113.9</v>
      </c>
      <c r="K139" s="26">
        <v>122.2</v>
      </c>
      <c r="L139" s="26">
        <v>108.9</v>
      </c>
      <c r="M139" s="26">
        <v>100.2</v>
      </c>
      <c r="N139" s="26">
        <v>111</v>
      </c>
      <c r="O139" s="26">
        <v>112.3</v>
      </c>
      <c r="P139" s="26">
        <v>118.1</v>
      </c>
      <c r="Q139" s="26">
        <v>115.8</v>
      </c>
      <c r="R139" s="26">
        <v>114.5</v>
      </c>
      <c r="S139" s="26">
        <v>115.8</v>
      </c>
      <c r="T139" s="26">
        <v>113.2</v>
      </c>
      <c r="U139" s="26">
        <v>115.4</v>
      </c>
      <c r="V139" s="26">
        <v>111.6</v>
      </c>
      <c r="W139" s="26">
        <v>112.2</v>
      </c>
      <c r="X139" s="26">
        <v>112.3</v>
      </c>
      <c r="Y139" s="26">
        <v>110.3</v>
      </c>
      <c r="Z139" s="26">
        <v>110.7</v>
      </c>
      <c r="AA139" s="26">
        <v>109.7</v>
      </c>
      <c r="AB139" s="26">
        <v>111.6</v>
      </c>
      <c r="AC139" s="26">
        <v>108.2</v>
      </c>
      <c r="AD139" s="26">
        <v>110.6</v>
      </c>
      <c r="AE139" s="26">
        <v>113.6</v>
      </c>
      <c r="AF139" s="26">
        <v>1485.7999999999997</v>
      </c>
      <c r="AG139" s="26">
        <v>344.4</v>
      </c>
      <c r="AH139" s="26">
        <v>336.1</v>
      </c>
      <c r="AI139" s="26">
        <v>218.5</v>
      </c>
      <c r="AJ139" s="26">
        <v>220.3</v>
      </c>
      <c r="AK139" s="26">
        <v>2941.8999999999996</v>
      </c>
    </row>
    <row r="140" spans="1:37" x14ac:dyDescent="0.25">
      <c r="A140" t="s">
        <v>35</v>
      </c>
      <c r="B140">
        <v>2014</v>
      </c>
      <c r="C140" t="s">
        <v>36</v>
      </c>
      <c r="D140" s="25">
        <v>41671</v>
      </c>
      <c r="E140" s="26">
        <v>120.2</v>
      </c>
      <c r="F140" s="26">
        <v>119.2</v>
      </c>
      <c r="G140" s="26">
        <v>122.5</v>
      </c>
      <c r="H140" s="26">
        <v>115.1</v>
      </c>
      <c r="I140" s="26">
        <v>106.6</v>
      </c>
      <c r="J140" s="26">
        <v>115.4</v>
      </c>
      <c r="K140" s="26">
        <v>114.5</v>
      </c>
      <c r="L140" s="26">
        <v>109.3</v>
      </c>
      <c r="M140" s="26">
        <v>99.2</v>
      </c>
      <c r="N140" s="26">
        <v>111.4</v>
      </c>
      <c r="O140" s="26">
        <v>112.6</v>
      </c>
      <c r="P140" s="26">
        <v>118.8</v>
      </c>
      <c r="Q140" s="26">
        <v>115.3</v>
      </c>
      <c r="R140" s="26">
        <v>114.7</v>
      </c>
      <c r="S140" s="26">
        <v>116.4</v>
      </c>
      <c r="T140" s="26">
        <v>113.3</v>
      </c>
      <c r="U140" s="26">
        <v>115.9</v>
      </c>
      <c r="V140" s="26">
        <v>112.5</v>
      </c>
      <c r="W140" s="26">
        <v>112.4</v>
      </c>
      <c r="X140" s="26">
        <v>112.8</v>
      </c>
      <c r="Y140" s="26">
        <v>110.7</v>
      </c>
      <c r="Z140" s="26">
        <v>111.1</v>
      </c>
      <c r="AA140" s="26">
        <v>110.1</v>
      </c>
      <c r="AB140" s="26">
        <v>111.8</v>
      </c>
      <c r="AC140" s="26">
        <v>108.7</v>
      </c>
      <c r="AD140" s="26">
        <v>110.9</v>
      </c>
      <c r="AE140" s="26">
        <v>113.6</v>
      </c>
      <c r="AF140" s="26">
        <v>1480.1</v>
      </c>
      <c r="AG140" s="26">
        <v>345.6</v>
      </c>
      <c r="AH140" s="26">
        <v>337.7</v>
      </c>
      <c r="AI140" s="26">
        <v>219.4</v>
      </c>
      <c r="AJ140" s="26">
        <v>221</v>
      </c>
      <c r="AK140" s="26">
        <v>2941.3999999999996</v>
      </c>
    </row>
    <row r="141" spans="1:37" x14ac:dyDescent="0.25">
      <c r="A141" t="s">
        <v>35</v>
      </c>
      <c r="B141">
        <v>2014</v>
      </c>
      <c r="C141" t="s">
        <v>37</v>
      </c>
      <c r="D141" s="25">
        <v>41699</v>
      </c>
      <c r="E141" s="26">
        <v>120.7</v>
      </c>
      <c r="F141" s="26">
        <v>119.3</v>
      </c>
      <c r="G141" s="26">
        <v>121</v>
      </c>
      <c r="H141" s="26">
        <v>116.1</v>
      </c>
      <c r="I141" s="26">
        <v>106.9</v>
      </c>
      <c r="J141" s="26">
        <v>118.7</v>
      </c>
      <c r="K141" s="26">
        <v>116.3</v>
      </c>
      <c r="L141" s="26">
        <v>109.8</v>
      </c>
      <c r="M141" s="26">
        <v>99.6</v>
      </c>
      <c r="N141" s="26">
        <v>111.8</v>
      </c>
      <c r="O141" s="26">
        <v>112.7</v>
      </c>
      <c r="P141" s="26">
        <v>119.3</v>
      </c>
      <c r="Q141" s="26">
        <v>116.1</v>
      </c>
      <c r="R141" s="26">
        <v>115.2</v>
      </c>
      <c r="S141" s="26">
        <v>116.8</v>
      </c>
      <c r="T141" s="26">
        <v>113.7</v>
      </c>
      <c r="U141" s="26">
        <v>116.4</v>
      </c>
      <c r="V141" s="26">
        <v>113.2</v>
      </c>
      <c r="W141" s="26">
        <v>112.5</v>
      </c>
      <c r="X141" s="26">
        <v>113.2</v>
      </c>
      <c r="Y141" s="26">
        <v>111.2</v>
      </c>
      <c r="Z141" s="26">
        <v>111.4</v>
      </c>
      <c r="AA141" s="26">
        <v>110.6</v>
      </c>
      <c r="AB141" s="26">
        <v>112</v>
      </c>
      <c r="AC141" s="26">
        <v>109</v>
      </c>
      <c r="AD141" s="26">
        <v>111.3</v>
      </c>
      <c r="AE141" s="26">
        <v>114.2</v>
      </c>
      <c r="AF141" s="26">
        <v>1488.2999999999997</v>
      </c>
      <c r="AG141" s="26">
        <v>346.9</v>
      </c>
      <c r="AH141" s="26">
        <v>338.9</v>
      </c>
      <c r="AI141" s="26">
        <v>220.2</v>
      </c>
      <c r="AJ141" s="26">
        <v>221.89999999999998</v>
      </c>
      <c r="AK141" s="26">
        <v>2954.7999999999997</v>
      </c>
    </row>
    <row r="142" spans="1:37" x14ac:dyDescent="0.25">
      <c r="A142" t="s">
        <v>35</v>
      </c>
      <c r="B142">
        <v>2014</v>
      </c>
      <c r="C142" t="s">
        <v>38</v>
      </c>
      <c r="D142" s="25">
        <v>41730</v>
      </c>
      <c r="E142" s="26">
        <v>120.9</v>
      </c>
      <c r="F142" s="26">
        <v>119.9</v>
      </c>
      <c r="G142" s="26">
        <v>116.2</v>
      </c>
      <c r="H142" s="26">
        <v>117</v>
      </c>
      <c r="I142" s="26">
        <v>107.3</v>
      </c>
      <c r="J142" s="26">
        <v>126.1</v>
      </c>
      <c r="K142" s="26">
        <v>120.7</v>
      </c>
      <c r="L142" s="26">
        <v>111</v>
      </c>
      <c r="M142" s="26">
        <v>101.8</v>
      </c>
      <c r="N142" s="26">
        <v>112.6</v>
      </c>
      <c r="O142" s="26">
        <v>113.2</v>
      </c>
      <c r="P142" s="26">
        <v>119.8</v>
      </c>
      <c r="Q142" s="26">
        <v>117.6</v>
      </c>
      <c r="R142" s="26">
        <v>116</v>
      </c>
      <c r="S142" s="26">
        <v>117.4</v>
      </c>
      <c r="T142" s="26">
        <v>114.6</v>
      </c>
      <c r="U142" s="26">
        <v>117</v>
      </c>
      <c r="V142" s="26">
        <v>113.9</v>
      </c>
      <c r="W142" s="26">
        <v>112.5</v>
      </c>
      <c r="X142" s="26">
        <v>113.6</v>
      </c>
      <c r="Y142" s="26">
        <v>111.5</v>
      </c>
      <c r="Z142" s="26">
        <v>111.2</v>
      </c>
      <c r="AA142" s="26">
        <v>110.9</v>
      </c>
      <c r="AB142" s="26">
        <v>112.7</v>
      </c>
      <c r="AC142" s="26">
        <v>109</v>
      </c>
      <c r="AD142" s="26">
        <v>111.5</v>
      </c>
      <c r="AE142" s="26">
        <v>115.1</v>
      </c>
      <c r="AF142" s="26">
        <v>1504.1</v>
      </c>
      <c r="AG142" s="26">
        <v>349</v>
      </c>
      <c r="AH142" s="26">
        <v>340</v>
      </c>
      <c r="AI142" s="26">
        <v>220.5</v>
      </c>
      <c r="AJ142" s="26">
        <v>222.4</v>
      </c>
      <c r="AK142" s="26">
        <v>2975.9</v>
      </c>
    </row>
    <row r="143" spans="1:37" x14ac:dyDescent="0.25">
      <c r="A143" t="s">
        <v>35</v>
      </c>
      <c r="B143">
        <v>2014</v>
      </c>
      <c r="C143" t="s">
        <v>39</v>
      </c>
      <c r="D143" s="25">
        <v>41760</v>
      </c>
      <c r="E143" s="26">
        <v>121.1</v>
      </c>
      <c r="F143" s="26">
        <v>121.6</v>
      </c>
      <c r="G143" s="26">
        <v>115.9</v>
      </c>
      <c r="H143" s="26">
        <v>118.4</v>
      </c>
      <c r="I143" s="26">
        <v>107.7</v>
      </c>
      <c r="J143" s="26">
        <v>127.7</v>
      </c>
      <c r="K143" s="26">
        <v>125</v>
      </c>
      <c r="L143" s="26">
        <v>111.9</v>
      </c>
      <c r="M143" s="26">
        <v>102.8</v>
      </c>
      <c r="N143" s="26">
        <v>113.4</v>
      </c>
      <c r="O143" s="26">
        <v>113.7</v>
      </c>
      <c r="P143" s="26">
        <v>120.4</v>
      </c>
      <c r="Q143" s="26">
        <v>118.9</v>
      </c>
      <c r="R143" s="26">
        <v>116.8</v>
      </c>
      <c r="S143" s="26">
        <v>118</v>
      </c>
      <c r="T143" s="26">
        <v>115.2</v>
      </c>
      <c r="U143" s="26">
        <v>117.6</v>
      </c>
      <c r="V143" s="26">
        <v>114.3</v>
      </c>
      <c r="W143" s="26">
        <v>112.5</v>
      </c>
      <c r="X143" s="26">
        <v>114.1</v>
      </c>
      <c r="Y143" s="26">
        <v>111.8</v>
      </c>
      <c r="Z143" s="26">
        <v>111.3</v>
      </c>
      <c r="AA143" s="26">
        <v>111.2</v>
      </c>
      <c r="AB143" s="26">
        <v>113</v>
      </c>
      <c r="AC143" s="26">
        <v>109.1</v>
      </c>
      <c r="AD143" s="26">
        <v>111.8</v>
      </c>
      <c r="AE143" s="26">
        <v>115.8</v>
      </c>
      <c r="AF143" s="26">
        <v>1518.5000000000005</v>
      </c>
      <c r="AG143" s="26">
        <v>350.79999999999995</v>
      </c>
      <c r="AH143" s="26">
        <v>340.9</v>
      </c>
      <c r="AI143" s="26">
        <v>220.89999999999998</v>
      </c>
      <c r="AJ143" s="26">
        <v>223</v>
      </c>
      <c r="AK143" s="26">
        <v>2995.2000000000007</v>
      </c>
    </row>
    <row r="144" spans="1:37" x14ac:dyDescent="0.25">
      <c r="A144" t="s">
        <v>35</v>
      </c>
      <c r="B144">
        <v>2014</v>
      </c>
      <c r="C144" t="s">
        <v>40</v>
      </c>
      <c r="D144" s="25">
        <v>41791</v>
      </c>
      <c r="E144" s="26">
        <v>121.5</v>
      </c>
      <c r="F144" s="26">
        <v>123.1</v>
      </c>
      <c r="G144" s="26">
        <v>115.8</v>
      </c>
      <c r="H144" s="26">
        <v>119.7</v>
      </c>
      <c r="I144" s="26">
        <v>107.8</v>
      </c>
      <c r="J144" s="26">
        <v>128.30000000000001</v>
      </c>
      <c r="K144" s="26">
        <v>132.1</v>
      </c>
      <c r="L144" s="26">
        <v>112.4</v>
      </c>
      <c r="M144" s="26">
        <v>102.9</v>
      </c>
      <c r="N144" s="26">
        <v>114.3</v>
      </c>
      <c r="O144" s="26">
        <v>114.2</v>
      </c>
      <c r="P144" s="26">
        <v>121.2</v>
      </c>
      <c r="Q144" s="26">
        <v>120.4</v>
      </c>
      <c r="R144" s="26">
        <v>117.8</v>
      </c>
      <c r="S144" s="26">
        <v>118.8</v>
      </c>
      <c r="T144" s="26">
        <v>115.6</v>
      </c>
      <c r="U144" s="26">
        <v>118.3</v>
      </c>
      <c r="V144" s="26">
        <v>113.9</v>
      </c>
      <c r="W144" s="26">
        <v>113.2</v>
      </c>
      <c r="X144" s="26">
        <v>114.6</v>
      </c>
      <c r="Y144" s="26">
        <v>112.3</v>
      </c>
      <c r="Z144" s="26">
        <v>111.8</v>
      </c>
      <c r="AA144" s="26">
        <v>111.6</v>
      </c>
      <c r="AB144" s="26">
        <v>114.8</v>
      </c>
      <c r="AC144" s="26">
        <v>108.3</v>
      </c>
      <c r="AD144" s="26">
        <v>112.3</v>
      </c>
      <c r="AE144" s="26">
        <v>116.7</v>
      </c>
      <c r="AF144" s="26">
        <v>1533.7000000000003</v>
      </c>
      <c r="AG144" s="26">
        <v>352.7</v>
      </c>
      <c r="AH144" s="26">
        <v>341.70000000000005</v>
      </c>
      <c r="AI144" s="26">
        <v>220.6</v>
      </c>
      <c r="AJ144" s="26">
        <v>223.89999999999998</v>
      </c>
      <c r="AK144" s="26">
        <v>3017</v>
      </c>
    </row>
    <row r="145" spans="1:37" x14ac:dyDescent="0.25">
      <c r="A145" t="s">
        <v>35</v>
      </c>
      <c r="B145">
        <v>2014</v>
      </c>
      <c r="C145" t="s">
        <v>41</v>
      </c>
      <c r="D145" s="25">
        <v>41821</v>
      </c>
      <c r="E145" s="26">
        <v>122.4</v>
      </c>
      <c r="F145" s="26">
        <v>123.9</v>
      </c>
      <c r="G145" s="26">
        <v>117.8</v>
      </c>
      <c r="H145" s="26">
        <v>121</v>
      </c>
      <c r="I145" s="26">
        <v>107.9</v>
      </c>
      <c r="J145" s="26">
        <v>131.19999999999999</v>
      </c>
      <c r="K145" s="26">
        <v>157.69999999999999</v>
      </c>
      <c r="L145" s="26">
        <v>113.2</v>
      </c>
      <c r="M145" s="26">
        <v>104.1</v>
      </c>
      <c r="N145" s="26">
        <v>115.5</v>
      </c>
      <c r="O145" s="26">
        <v>114.8</v>
      </c>
      <c r="P145" s="26">
        <v>122.1</v>
      </c>
      <c r="Q145" s="26">
        <v>124.7</v>
      </c>
      <c r="R145" s="26">
        <v>118.8</v>
      </c>
      <c r="S145" s="26">
        <v>119.6</v>
      </c>
      <c r="T145" s="26">
        <v>116.3</v>
      </c>
      <c r="U145" s="26">
        <v>119.1</v>
      </c>
      <c r="V145" s="26">
        <v>114.8</v>
      </c>
      <c r="W145" s="26">
        <v>113.9</v>
      </c>
      <c r="X145" s="26">
        <v>115.2</v>
      </c>
      <c r="Y145" s="26">
        <v>112.7</v>
      </c>
      <c r="Z145" s="26">
        <v>113.1</v>
      </c>
      <c r="AA145" s="26">
        <v>112.1</v>
      </c>
      <c r="AB145" s="26">
        <v>116.8</v>
      </c>
      <c r="AC145" s="26">
        <v>109.2</v>
      </c>
      <c r="AD145" s="26">
        <v>113.3</v>
      </c>
      <c r="AE145" s="26">
        <v>119.2</v>
      </c>
      <c r="AF145" s="26">
        <v>1576.3</v>
      </c>
      <c r="AG145" s="26">
        <v>355</v>
      </c>
      <c r="AH145" s="26">
        <v>343.9</v>
      </c>
      <c r="AI145" s="26">
        <v>221.9</v>
      </c>
      <c r="AJ145" s="26">
        <v>225.39999999999998</v>
      </c>
      <c r="AK145" s="26">
        <v>3071.2000000000003</v>
      </c>
    </row>
    <row r="146" spans="1:37" x14ac:dyDescent="0.25">
      <c r="A146" t="s">
        <v>35</v>
      </c>
      <c r="B146">
        <v>2014</v>
      </c>
      <c r="C146" t="s">
        <v>42</v>
      </c>
      <c r="D146" s="25">
        <v>41852</v>
      </c>
      <c r="E146" s="26">
        <v>122.7</v>
      </c>
      <c r="F146" s="26">
        <v>124.4</v>
      </c>
      <c r="G146" s="26">
        <v>117.3</v>
      </c>
      <c r="H146" s="26">
        <v>122</v>
      </c>
      <c r="I146" s="26">
        <v>108</v>
      </c>
      <c r="J146" s="26">
        <v>131.1</v>
      </c>
      <c r="K146" s="26">
        <v>168.2</v>
      </c>
      <c r="L146" s="26">
        <v>114.5</v>
      </c>
      <c r="M146" s="26">
        <v>104.3</v>
      </c>
      <c r="N146" s="26">
        <v>117.1</v>
      </c>
      <c r="O146" s="26">
        <v>115.2</v>
      </c>
      <c r="P146" s="26">
        <v>123.1</v>
      </c>
      <c r="Q146" s="26">
        <v>126.6</v>
      </c>
      <c r="R146" s="26">
        <v>119.9</v>
      </c>
      <c r="S146" s="26">
        <v>120</v>
      </c>
      <c r="T146" s="26">
        <v>116.8</v>
      </c>
      <c r="U146" s="26">
        <v>119.6</v>
      </c>
      <c r="V146" s="26">
        <v>115.5</v>
      </c>
      <c r="W146" s="26">
        <v>114</v>
      </c>
      <c r="X146" s="26">
        <v>115.6</v>
      </c>
      <c r="Y146" s="26">
        <v>113.3</v>
      </c>
      <c r="Z146" s="26">
        <v>112.8</v>
      </c>
      <c r="AA146" s="26">
        <v>112.6</v>
      </c>
      <c r="AB146" s="26">
        <v>118</v>
      </c>
      <c r="AC146" s="26">
        <v>109.9</v>
      </c>
      <c r="AD146" s="26">
        <v>113.7</v>
      </c>
      <c r="AE146" s="26">
        <v>120.3</v>
      </c>
      <c r="AF146" s="26">
        <v>1594.4999999999998</v>
      </c>
      <c r="AG146" s="26">
        <v>356.4</v>
      </c>
      <c r="AH146" s="26">
        <v>345.1</v>
      </c>
      <c r="AI146" s="26">
        <v>223.2</v>
      </c>
      <c r="AJ146" s="26">
        <v>226.3</v>
      </c>
      <c r="AK146" s="26">
        <v>3096.2</v>
      </c>
    </row>
    <row r="147" spans="1:37" x14ac:dyDescent="0.25">
      <c r="A147" t="s">
        <v>35</v>
      </c>
      <c r="B147">
        <v>2014</v>
      </c>
      <c r="C147" t="s">
        <v>43</v>
      </c>
      <c r="D147" s="25">
        <v>41883</v>
      </c>
      <c r="E147" s="26">
        <v>122.9</v>
      </c>
      <c r="F147" s="26">
        <v>123.5</v>
      </c>
      <c r="G147" s="26">
        <v>117.3</v>
      </c>
      <c r="H147" s="26">
        <v>122.7</v>
      </c>
      <c r="I147" s="26">
        <v>107.9</v>
      </c>
      <c r="J147" s="26">
        <v>127.3</v>
      </c>
      <c r="K147" s="26">
        <v>162.1</v>
      </c>
      <c r="L147" s="26">
        <v>115.6</v>
      </c>
      <c r="M147" s="26">
        <v>103.8</v>
      </c>
      <c r="N147" s="26">
        <v>117.6</v>
      </c>
      <c r="O147" s="26">
        <v>115.8</v>
      </c>
      <c r="P147" s="26">
        <v>123.8</v>
      </c>
      <c r="Q147" s="26">
        <v>125.8</v>
      </c>
      <c r="R147" s="26">
        <v>120.8</v>
      </c>
      <c r="S147" s="26">
        <v>120.7</v>
      </c>
      <c r="T147" s="26">
        <v>117.2</v>
      </c>
      <c r="U147" s="26">
        <v>120.1</v>
      </c>
      <c r="V147" s="26">
        <v>116.1</v>
      </c>
      <c r="W147" s="26">
        <v>114.3</v>
      </c>
      <c r="X147" s="26">
        <v>116.1</v>
      </c>
      <c r="Y147" s="26">
        <v>113.7</v>
      </c>
      <c r="Z147" s="26">
        <v>112</v>
      </c>
      <c r="AA147" s="26">
        <v>113.1</v>
      </c>
      <c r="AB147" s="26">
        <v>118.6</v>
      </c>
      <c r="AC147" s="26">
        <v>109.5</v>
      </c>
      <c r="AD147" s="26">
        <v>113.7</v>
      </c>
      <c r="AE147" s="26">
        <v>120.1</v>
      </c>
      <c r="AF147" s="26">
        <v>1586.0999999999997</v>
      </c>
      <c r="AG147" s="26">
        <v>358</v>
      </c>
      <c r="AH147" s="26">
        <v>346.5</v>
      </c>
      <c r="AI147" s="26">
        <v>223.2</v>
      </c>
      <c r="AJ147" s="26">
        <v>226.8</v>
      </c>
      <c r="AK147" s="26">
        <v>3091.9999999999995</v>
      </c>
    </row>
    <row r="148" spans="1:37" x14ac:dyDescent="0.25">
      <c r="A148" t="s">
        <v>35</v>
      </c>
      <c r="B148">
        <v>2014</v>
      </c>
      <c r="C148" t="s">
        <v>44</v>
      </c>
      <c r="D148" s="25">
        <v>41913</v>
      </c>
      <c r="E148" s="26">
        <v>123.2</v>
      </c>
      <c r="F148" s="26">
        <v>123.8</v>
      </c>
      <c r="G148" s="26">
        <v>118.1</v>
      </c>
      <c r="H148" s="26">
        <v>123.2</v>
      </c>
      <c r="I148" s="26">
        <v>107.9</v>
      </c>
      <c r="J148" s="26">
        <v>126.4</v>
      </c>
      <c r="K148" s="26">
        <v>156.80000000000001</v>
      </c>
      <c r="L148" s="26">
        <v>116.1</v>
      </c>
      <c r="M148" s="26">
        <v>103.1</v>
      </c>
      <c r="N148" s="26">
        <v>118.1</v>
      </c>
      <c r="O148" s="26">
        <v>116.1</v>
      </c>
      <c r="P148" s="26">
        <v>124.5</v>
      </c>
      <c r="Q148" s="26">
        <v>125.4</v>
      </c>
      <c r="R148" s="26">
        <v>121.1</v>
      </c>
      <c r="S148" s="26">
        <v>121.5</v>
      </c>
      <c r="T148" s="26">
        <v>118.1</v>
      </c>
      <c r="U148" s="26">
        <v>121</v>
      </c>
      <c r="V148" s="26">
        <v>116.7</v>
      </c>
      <c r="W148" s="26">
        <v>114.7</v>
      </c>
      <c r="X148" s="26">
        <v>116.7</v>
      </c>
      <c r="Y148" s="26">
        <v>114.3</v>
      </c>
      <c r="Z148" s="26">
        <v>111.8</v>
      </c>
      <c r="AA148" s="26">
        <v>113.3</v>
      </c>
      <c r="AB148" s="26">
        <v>118.8</v>
      </c>
      <c r="AC148" s="26">
        <v>109.6</v>
      </c>
      <c r="AD148" s="26">
        <v>113.9</v>
      </c>
      <c r="AE148" s="26">
        <v>120.1</v>
      </c>
      <c r="AF148" s="26">
        <v>1582.7</v>
      </c>
      <c r="AG148" s="26">
        <v>360.6</v>
      </c>
      <c r="AH148" s="26">
        <v>348.1</v>
      </c>
      <c r="AI148" s="26">
        <v>223.89999999999998</v>
      </c>
      <c r="AJ148" s="26">
        <v>227.2</v>
      </c>
      <c r="AK148" s="26">
        <v>3094.2</v>
      </c>
    </row>
    <row r="149" spans="1:37" x14ac:dyDescent="0.25">
      <c r="A149" t="s">
        <v>35</v>
      </c>
      <c r="B149">
        <v>2014</v>
      </c>
      <c r="C149" t="s">
        <v>46</v>
      </c>
      <c r="D149" s="25">
        <v>41944</v>
      </c>
      <c r="E149" s="26">
        <v>123.3</v>
      </c>
      <c r="F149" s="26">
        <v>123.7</v>
      </c>
      <c r="G149" s="26">
        <v>121</v>
      </c>
      <c r="H149" s="26">
        <v>124.2</v>
      </c>
      <c r="I149" s="26">
        <v>107.8</v>
      </c>
      <c r="J149" s="26">
        <v>125.7</v>
      </c>
      <c r="K149" s="26">
        <v>152.4</v>
      </c>
      <c r="L149" s="26">
        <v>117.2</v>
      </c>
      <c r="M149" s="26">
        <v>102.1</v>
      </c>
      <c r="N149" s="26">
        <v>118.7</v>
      </c>
      <c r="O149" s="26">
        <v>116.4</v>
      </c>
      <c r="P149" s="26">
        <v>125.6</v>
      </c>
      <c r="Q149" s="26">
        <v>125.1</v>
      </c>
      <c r="R149" s="26">
        <v>122.1</v>
      </c>
      <c r="S149" s="26">
        <v>122.1</v>
      </c>
      <c r="T149" s="26">
        <v>118.4</v>
      </c>
      <c r="U149" s="26">
        <v>121.6</v>
      </c>
      <c r="V149" s="26">
        <v>117.1</v>
      </c>
      <c r="W149" s="26">
        <v>115.5</v>
      </c>
      <c r="X149" s="26">
        <v>117.3</v>
      </c>
      <c r="Y149" s="26">
        <v>114.8</v>
      </c>
      <c r="Z149" s="26">
        <v>110.8</v>
      </c>
      <c r="AA149" s="26">
        <v>113.7</v>
      </c>
      <c r="AB149" s="26">
        <v>119</v>
      </c>
      <c r="AC149" s="26">
        <v>109.1</v>
      </c>
      <c r="AD149" s="26">
        <v>113.8</v>
      </c>
      <c r="AE149" s="26">
        <v>120.1</v>
      </c>
      <c r="AF149" s="26">
        <v>1583.2</v>
      </c>
      <c r="AG149" s="26">
        <v>362.1</v>
      </c>
      <c r="AH149" s="26">
        <v>349.9</v>
      </c>
      <c r="AI149" s="26">
        <v>223.89999999999998</v>
      </c>
      <c r="AJ149" s="26">
        <v>227.5</v>
      </c>
      <c r="AK149" s="26">
        <v>3098.5</v>
      </c>
    </row>
    <row r="150" spans="1:37" x14ac:dyDescent="0.25">
      <c r="A150" t="s">
        <v>35</v>
      </c>
      <c r="B150">
        <v>2014</v>
      </c>
      <c r="C150" t="s">
        <v>47</v>
      </c>
      <c r="D150" s="25">
        <v>41974</v>
      </c>
      <c r="E150" s="26">
        <v>122.9</v>
      </c>
      <c r="F150" s="26">
        <v>123.2</v>
      </c>
      <c r="G150" s="26">
        <v>123.5</v>
      </c>
      <c r="H150" s="26">
        <v>124.5</v>
      </c>
      <c r="I150" s="26">
        <v>107.6</v>
      </c>
      <c r="J150" s="26">
        <v>125.7</v>
      </c>
      <c r="K150" s="26">
        <v>140.5</v>
      </c>
      <c r="L150" s="26">
        <v>117.6</v>
      </c>
      <c r="M150" s="26">
        <v>100.6</v>
      </c>
      <c r="N150" s="26">
        <v>119.1</v>
      </c>
      <c r="O150" s="26">
        <v>116.8</v>
      </c>
      <c r="P150" s="26">
        <v>126.1</v>
      </c>
      <c r="Q150" s="26">
        <v>123.6</v>
      </c>
      <c r="R150" s="26">
        <v>123</v>
      </c>
      <c r="S150" s="26">
        <v>122.6</v>
      </c>
      <c r="T150" s="26">
        <v>118.6</v>
      </c>
      <c r="U150" s="26">
        <v>122</v>
      </c>
      <c r="V150" s="26">
        <v>116.5</v>
      </c>
      <c r="W150" s="26">
        <v>115.7</v>
      </c>
      <c r="X150" s="26">
        <v>117.5</v>
      </c>
      <c r="Y150" s="26">
        <v>115.1</v>
      </c>
      <c r="Z150" s="26">
        <v>110.1</v>
      </c>
      <c r="AA150" s="26">
        <v>113.9</v>
      </c>
      <c r="AB150" s="26">
        <v>119.5</v>
      </c>
      <c r="AC150" s="26">
        <v>109.8</v>
      </c>
      <c r="AD150" s="26">
        <v>113.8</v>
      </c>
      <c r="AE150" s="26">
        <v>119.4</v>
      </c>
      <c r="AF150" s="26">
        <v>1571.6999999999998</v>
      </c>
      <c r="AG150" s="26">
        <v>363.2</v>
      </c>
      <c r="AH150" s="26">
        <v>349.7</v>
      </c>
      <c r="AI150" s="26">
        <v>224.89999999999998</v>
      </c>
      <c r="AJ150" s="26">
        <v>227.7</v>
      </c>
      <c r="AK150" s="26">
        <v>3089.7999999999993</v>
      </c>
    </row>
    <row r="151" spans="1:37" x14ac:dyDescent="0.25">
      <c r="A151" t="s">
        <v>35</v>
      </c>
      <c r="B151">
        <v>2015</v>
      </c>
      <c r="C151" t="s">
        <v>32</v>
      </c>
      <c r="D151" s="25">
        <v>42005</v>
      </c>
      <c r="E151" s="26">
        <v>123.4</v>
      </c>
      <c r="F151" s="26">
        <v>123.9</v>
      </c>
      <c r="G151" s="26">
        <v>123.8</v>
      </c>
      <c r="H151" s="26">
        <v>125</v>
      </c>
      <c r="I151" s="26">
        <v>108.5</v>
      </c>
      <c r="J151" s="26">
        <v>126.2</v>
      </c>
      <c r="K151" s="26">
        <v>133</v>
      </c>
      <c r="L151" s="26">
        <v>119.1</v>
      </c>
      <c r="M151" s="26">
        <v>99</v>
      </c>
      <c r="N151" s="26">
        <v>120.3</v>
      </c>
      <c r="O151" s="26">
        <v>117.3</v>
      </c>
      <c r="P151" s="26">
        <v>126.7</v>
      </c>
      <c r="Q151" s="26">
        <v>123.1</v>
      </c>
      <c r="R151" s="26">
        <v>124</v>
      </c>
      <c r="S151" s="26">
        <v>123.1</v>
      </c>
      <c r="T151" s="26">
        <v>119.3</v>
      </c>
      <c r="U151" s="26">
        <v>122.5</v>
      </c>
      <c r="V151" s="26">
        <v>117.3</v>
      </c>
      <c r="W151" s="26">
        <v>116.5</v>
      </c>
      <c r="X151" s="26">
        <v>118.1</v>
      </c>
      <c r="Y151" s="26">
        <v>115.5</v>
      </c>
      <c r="Z151" s="26">
        <v>109.4</v>
      </c>
      <c r="AA151" s="26">
        <v>114.3</v>
      </c>
      <c r="AB151" s="26">
        <v>119.7</v>
      </c>
      <c r="AC151" s="26">
        <v>110.7</v>
      </c>
      <c r="AD151" s="26">
        <v>114</v>
      </c>
      <c r="AE151" s="26">
        <v>119.5</v>
      </c>
      <c r="AF151" s="26">
        <v>1569.3</v>
      </c>
      <c r="AG151" s="26">
        <v>364.9</v>
      </c>
      <c r="AH151" s="26">
        <v>351.9</v>
      </c>
      <c r="AI151" s="26">
        <v>226.2</v>
      </c>
      <c r="AJ151" s="26">
        <v>228.3</v>
      </c>
      <c r="AK151" s="26">
        <v>3093.7000000000003</v>
      </c>
    </row>
    <row r="152" spans="1:37" x14ac:dyDescent="0.25">
      <c r="A152" t="s">
        <v>35</v>
      </c>
      <c r="B152">
        <v>2015</v>
      </c>
      <c r="C152" t="s">
        <v>36</v>
      </c>
      <c r="D152" s="25">
        <v>42036</v>
      </c>
      <c r="E152" s="26">
        <v>123.7</v>
      </c>
      <c r="F152" s="26">
        <v>125.1</v>
      </c>
      <c r="G152" s="26">
        <v>121.1</v>
      </c>
      <c r="H152" s="26">
        <v>125.7</v>
      </c>
      <c r="I152" s="26">
        <v>109.1</v>
      </c>
      <c r="J152" s="26">
        <v>125.8</v>
      </c>
      <c r="K152" s="26">
        <v>129.4</v>
      </c>
      <c r="L152" s="26">
        <v>120.9</v>
      </c>
      <c r="M152" s="26">
        <v>98.3</v>
      </c>
      <c r="N152" s="26">
        <v>121.6</v>
      </c>
      <c r="O152" s="26">
        <v>118</v>
      </c>
      <c r="P152" s="26">
        <v>127.6</v>
      </c>
      <c r="Q152" s="26">
        <v>123.1</v>
      </c>
      <c r="R152" s="26">
        <v>125.2</v>
      </c>
      <c r="S152" s="26">
        <v>123.8</v>
      </c>
      <c r="T152" s="26">
        <v>120.1</v>
      </c>
      <c r="U152" s="26">
        <v>123.3</v>
      </c>
      <c r="V152" s="26">
        <v>118.1</v>
      </c>
      <c r="W152" s="26">
        <v>117.7</v>
      </c>
      <c r="X152" s="26">
        <v>118.7</v>
      </c>
      <c r="Y152" s="26">
        <v>116.3</v>
      </c>
      <c r="Z152" s="26">
        <v>108.7</v>
      </c>
      <c r="AA152" s="26">
        <v>114.9</v>
      </c>
      <c r="AB152" s="26">
        <v>119.7</v>
      </c>
      <c r="AC152" s="26">
        <v>111.2</v>
      </c>
      <c r="AD152" s="26">
        <v>114.1</v>
      </c>
      <c r="AE152" s="26">
        <v>119.7</v>
      </c>
      <c r="AF152" s="26">
        <v>1569.3999999999996</v>
      </c>
      <c r="AG152" s="26">
        <v>367.2</v>
      </c>
      <c r="AH152" s="26">
        <v>354.5</v>
      </c>
      <c r="AI152" s="26">
        <v>227.5</v>
      </c>
      <c r="AJ152" s="26">
        <v>229</v>
      </c>
      <c r="AK152" s="26">
        <v>3101.1999999999994</v>
      </c>
    </row>
    <row r="153" spans="1:37" x14ac:dyDescent="0.25">
      <c r="A153" t="s">
        <v>35</v>
      </c>
      <c r="B153">
        <v>2015</v>
      </c>
      <c r="C153" t="s">
        <v>37</v>
      </c>
      <c r="D153" s="25">
        <v>42064</v>
      </c>
      <c r="E153" s="26">
        <v>123.5</v>
      </c>
      <c r="F153" s="26">
        <v>125.4</v>
      </c>
      <c r="G153" s="26">
        <v>116.8</v>
      </c>
      <c r="H153" s="26">
        <v>126</v>
      </c>
      <c r="I153" s="26">
        <v>109.2</v>
      </c>
      <c r="J153" s="26">
        <v>127.6</v>
      </c>
      <c r="K153" s="26">
        <v>129.19999999999999</v>
      </c>
      <c r="L153" s="26">
        <v>122.4</v>
      </c>
      <c r="M153" s="26">
        <v>97</v>
      </c>
      <c r="N153" s="26">
        <v>122.1</v>
      </c>
      <c r="O153" s="26">
        <v>118.1</v>
      </c>
      <c r="P153" s="26">
        <v>128.4</v>
      </c>
      <c r="Q153" s="26">
        <v>123.4</v>
      </c>
      <c r="R153" s="26">
        <v>125.8</v>
      </c>
      <c r="S153" s="26">
        <v>124.3</v>
      </c>
      <c r="T153" s="26">
        <v>120.4</v>
      </c>
      <c r="U153" s="26">
        <v>123.7</v>
      </c>
      <c r="V153" s="26">
        <v>118.6</v>
      </c>
      <c r="W153" s="26">
        <v>118.3</v>
      </c>
      <c r="X153" s="26">
        <v>119.2</v>
      </c>
      <c r="Y153" s="26">
        <v>116.7</v>
      </c>
      <c r="Z153" s="26">
        <v>109.9</v>
      </c>
      <c r="AA153" s="26">
        <v>115.4</v>
      </c>
      <c r="AB153" s="26">
        <v>120.1</v>
      </c>
      <c r="AC153" s="26">
        <v>111</v>
      </c>
      <c r="AD153" s="26">
        <v>114.7</v>
      </c>
      <c r="AE153" s="26">
        <v>120.2</v>
      </c>
      <c r="AF153" s="26">
        <v>1569.1</v>
      </c>
      <c r="AG153" s="26">
        <v>368.4</v>
      </c>
      <c r="AH153" s="26">
        <v>356.09999999999997</v>
      </c>
      <c r="AI153" s="26">
        <v>227.7</v>
      </c>
      <c r="AJ153" s="26">
        <v>230.10000000000002</v>
      </c>
      <c r="AK153" s="26">
        <v>3107.1999999999994</v>
      </c>
    </row>
    <row r="154" spans="1:37" x14ac:dyDescent="0.25">
      <c r="A154" t="s">
        <v>35</v>
      </c>
      <c r="B154">
        <v>2015</v>
      </c>
      <c r="C154" t="s">
        <v>38</v>
      </c>
      <c r="D154" s="25">
        <v>42095</v>
      </c>
      <c r="E154" s="26">
        <v>123.5</v>
      </c>
      <c r="F154" s="26">
        <v>126.4</v>
      </c>
      <c r="G154" s="26">
        <v>114.4</v>
      </c>
      <c r="H154" s="26">
        <v>126.6</v>
      </c>
      <c r="I154" s="26">
        <v>109.2</v>
      </c>
      <c r="J154" s="26">
        <v>132.5</v>
      </c>
      <c r="K154" s="26">
        <v>128.6</v>
      </c>
      <c r="L154" s="26">
        <v>124.8</v>
      </c>
      <c r="M154" s="26">
        <v>95.7</v>
      </c>
      <c r="N154" s="26">
        <v>122.4</v>
      </c>
      <c r="O154" s="26">
        <v>118.5</v>
      </c>
      <c r="P154" s="26">
        <v>129.1</v>
      </c>
      <c r="Q154" s="26">
        <v>124</v>
      </c>
      <c r="R154" s="26">
        <v>126.9</v>
      </c>
      <c r="S154" s="26">
        <v>124.7</v>
      </c>
      <c r="T154" s="26">
        <v>120.8</v>
      </c>
      <c r="U154" s="26">
        <v>124.1</v>
      </c>
      <c r="V154" s="26">
        <v>119.2</v>
      </c>
      <c r="W154" s="26">
        <v>118.7</v>
      </c>
      <c r="X154" s="26">
        <v>119.7</v>
      </c>
      <c r="Y154" s="26">
        <v>117.1</v>
      </c>
      <c r="Z154" s="26">
        <v>110.1</v>
      </c>
      <c r="AA154" s="26">
        <v>115.9</v>
      </c>
      <c r="AB154" s="26">
        <v>121</v>
      </c>
      <c r="AC154" s="26">
        <v>111.7</v>
      </c>
      <c r="AD154" s="26">
        <v>115.1</v>
      </c>
      <c r="AE154" s="26">
        <v>120.7</v>
      </c>
      <c r="AF154" s="26">
        <v>1575.7</v>
      </c>
      <c r="AG154" s="26">
        <v>369.6</v>
      </c>
      <c r="AH154" s="26">
        <v>357.6</v>
      </c>
      <c r="AI154" s="26">
        <v>228.8</v>
      </c>
      <c r="AJ154" s="26">
        <v>231</v>
      </c>
      <c r="AK154" s="26">
        <v>3120.7000000000003</v>
      </c>
    </row>
    <row r="155" spans="1:37" x14ac:dyDescent="0.25">
      <c r="A155" t="s">
        <v>35</v>
      </c>
      <c r="B155">
        <v>2015</v>
      </c>
      <c r="C155" t="s">
        <v>39</v>
      </c>
      <c r="D155" s="25">
        <v>42125</v>
      </c>
      <c r="E155" s="26">
        <v>123.6</v>
      </c>
      <c r="F155" s="26">
        <v>128</v>
      </c>
      <c r="G155" s="26">
        <v>115</v>
      </c>
      <c r="H155" s="26">
        <v>127.3</v>
      </c>
      <c r="I155" s="26">
        <v>109.8</v>
      </c>
      <c r="J155" s="26">
        <v>132.6</v>
      </c>
      <c r="K155" s="26">
        <v>130.9</v>
      </c>
      <c r="L155" s="26">
        <v>130.5</v>
      </c>
      <c r="M155" s="26">
        <v>95.3</v>
      </c>
      <c r="N155" s="26">
        <v>123.4</v>
      </c>
      <c r="O155" s="26">
        <v>119.2</v>
      </c>
      <c r="P155" s="26">
        <v>129.80000000000001</v>
      </c>
      <c r="Q155" s="26">
        <v>125</v>
      </c>
      <c r="R155" s="26">
        <v>127.9</v>
      </c>
      <c r="S155" s="26">
        <v>125.4</v>
      </c>
      <c r="T155" s="26">
        <v>121.3</v>
      </c>
      <c r="U155" s="26">
        <v>124.7</v>
      </c>
      <c r="V155" s="26">
        <v>119.6</v>
      </c>
      <c r="W155" s="26">
        <v>119.2</v>
      </c>
      <c r="X155" s="26">
        <v>120.2</v>
      </c>
      <c r="Y155" s="26">
        <v>117.7</v>
      </c>
      <c r="Z155" s="26">
        <v>112</v>
      </c>
      <c r="AA155" s="26">
        <v>116.3</v>
      </c>
      <c r="AB155" s="26">
        <v>121.4</v>
      </c>
      <c r="AC155" s="26">
        <v>112.3</v>
      </c>
      <c r="AD155" s="26">
        <v>116.1</v>
      </c>
      <c r="AE155" s="26">
        <v>121.6</v>
      </c>
      <c r="AF155" s="26">
        <v>1590.4</v>
      </c>
      <c r="AG155" s="26">
        <v>371.4</v>
      </c>
      <c r="AH155" s="26">
        <v>359</v>
      </c>
      <c r="AI155" s="26">
        <v>230</v>
      </c>
      <c r="AJ155" s="26">
        <v>232.39999999999998</v>
      </c>
      <c r="AK155" s="26">
        <v>3144.5</v>
      </c>
    </row>
    <row r="156" spans="1:37" x14ac:dyDescent="0.25">
      <c r="A156" t="s">
        <v>35</v>
      </c>
      <c r="B156">
        <v>2015</v>
      </c>
      <c r="C156" t="s">
        <v>40</v>
      </c>
      <c r="D156" s="25">
        <v>42156</v>
      </c>
      <c r="E156" s="26">
        <v>123.9</v>
      </c>
      <c r="F156" s="26">
        <v>131.80000000000001</v>
      </c>
      <c r="G156" s="26">
        <v>121.6</v>
      </c>
      <c r="H156" s="26">
        <v>128.19999999999999</v>
      </c>
      <c r="I156" s="26">
        <v>111.1</v>
      </c>
      <c r="J156" s="26">
        <v>132.80000000000001</v>
      </c>
      <c r="K156" s="26">
        <v>139.1</v>
      </c>
      <c r="L156" s="26">
        <v>137.4</v>
      </c>
      <c r="M156" s="26">
        <v>94.1</v>
      </c>
      <c r="N156" s="26">
        <v>125.5</v>
      </c>
      <c r="O156" s="26">
        <v>119.8</v>
      </c>
      <c r="P156" s="26">
        <v>130.9</v>
      </c>
      <c r="Q156" s="26">
        <v>127.3</v>
      </c>
      <c r="R156" s="26">
        <v>129.19999999999999</v>
      </c>
      <c r="S156" s="26">
        <v>126.4</v>
      </c>
      <c r="T156" s="26">
        <v>122</v>
      </c>
      <c r="U156" s="26">
        <v>125.7</v>
      </c>
      <c r="V156" s="26">
        <v>119</v>
      </c>
      <c r="W156" s="26">
        <v>119.8</v>
      </c>
      <c r="X156" s="26">
        <v>121.1</v>
      </c>
      <c r="Y156" s="26">
        <v>118.5</v>
      </c>
      <c r="Z156" s="26">
        <v>112.9</v>
      </c>
      <c r="AA156" s="26">
        <v>116.9</v>
      </c>
      <c r="AB156" s="26">
        <v>123.1</v>
      </c>
      <c r="AC156" s="26">
        <v>112.8</v>
      </c>
      <c r="AD156" s="26">
        <v>117</v>
      </c>
      <c r="AE156" s="26">
        <v>123</v>
      </c>
      <c r="AF156" s="26">
        <v>1623.5</v>
      </c>
      <c r="AG156" s="26">
        <v>374.1</v>
      </c>
      <c r="AH156" s="26">
        <v>359.9</v>
      </c>
      <c r="AI156" s="26">
        <v>231.3</v>
      </c>
      <c r="AJ156" s="26">
        <v>233.9</v>
      </c>
      <c r="AK156" s="26">
        <v>3187.9000000000005</v>
      </c>
    </row>
    <row r="157" spans="1:37" x14ac:dyDescent="0.25">
      <c r="A157" t="s">
        <v>35</v>
      </c>
      <c r="B157">
        <v>2015</v>
      </c>
      <c r="C157" t="s">
        <v>41</v>
      </c>
      <c r="D157" s="25">
        <v>42186</v>
      </c>
      <c r="E157" s="26">
        <v>123.7</v>
      </c>
      <c r="F157" s="26">
        <v>132.5</v>
      </c>
      <c r="G157" s="26">
        <v>121</v>
      </c>
      <c r="H157" s="26">
        <v>128.30000000000001</v>
      </c>
      <c r="I157" s="26">
        <v>110.9</v>
      </c>
      <c r="J157" s="26">
        <v>133.1</v>
      </c>
      <c r="K157" s="26">
        <v>145.1</v>
      </c>
      <c r="L157" s="26">
        <v>139.1</v>
      </c>
      <c r="M157" s="26">
        <v>91.3</v>
      </c>
      <c r="N157" s="26">
        <v>126.1</v>
      </c>
      <c r="O157" s="26">
        <v>119.9</v>
      </c>
      <c r="P157" s="26">
        <v>131.4</v>
      </c>
      <c r="Q157" s="26">
        <v>128.19999999999999</v>
      </c>
      <c r="R157" s="26">
        <v>130.4</v>
      </c>
      <c r="S157" s="26">
        <v>126.7</v>
      </c>
      <c r="T157" s="26">
        <v>122.3</v>
      </c>
      <c r="U157" s="26">
        <v>126.1</v>
      </c>
      <c r="V157" s="26">
        <v>119.9</v>
      </c>
      <c r="W157" s="26">
        <v>120.1</v>
      </c>
      <c r="X157" s="26">
        <v>121.3</v>
      </c>
      <c r="Y157" s="26">
        <v>119</v>
      </c>
      <c r="Z157" s="26">
        <v>112.7</v>
      </c>
      <c r="AA157" s="26">
        <v>117.2</v>
      </c>
      <c r="AB157" s="26">
        <v>124.4</v>
      </c>
      <c r="AC157" s="26">
        <v>112.3</v>
      </c>
      <c r="AD157" s="26">
        <v>117.2</v>
      </c>
      <c r="AE157" s="26">
        <v>123.6</v>
      </c>
      <c r="AF157" s="26">
        <v>1630.6000000000001</v>
      </c>
      <c r="AG157" s="26">
        <v>375.1</v>
      </c>
      <c r="AH157" s="26">
        <v>361.3</v>
      </c>
      <c r="AI157" s="26">
        <v>231.3</v>
      </c>
      <c r="AJ157" s="26">
        <v>234.4</v>
      </c>
      <c r="AK157" s="26">
        <v>3200.2000000000007</v>
      </c>
    </row>
    <row r="158" spans="1:37" x14ac:dyDescent="0.25">
      <c r="A158" t="s">
        <v>35</v>
      </c>
      <c r="B158">
        <v>2015</v>
      </c>
      <c r="C158" t="s">
        <v>42</v>
      </c>
      <c r="D158" s="25">
        <v>42217</v>
      </c>
      <c r="E158" s="26">
        <v>124.2</v>
      </c>
      <c r="F158" s="26">
        <v>131.4</v>
      </c>
      <c r="G158" s="26">
        <v>120.1</v>
      </c>
      <c r="H158" s="26">
        <v>128.5</v>
      </c>
      <c r="I158" s="26">
        <v>111.4</v>
      </c>
      <c r="J158" s="26">
        <v>132.30000000000001</v>
      </c>
      <c r="K158" s="26">
        <v>157.6</v>
      </c>
      <c r="L158" s="26">
        <v>144</v>
      </c>
      <c r="M158" s="26">
        <v>90.5</v>
      </c>
      <c r="N158" s="26">
        <v>126.8</v>
      </c>
      <c r="O158" s="26">
        <v>120.4</v>
      </c>
      <c r="P158" s="26">
        <v>132.1</v>
      </c>
      <c r="Q158" s="26">
        <v>130.30000000000001</v>
      </c>
      <c r="R158" s="26">
        <v>131.19999999999999</v>
      </c>
      <c r="S158" s="26">
        <v>127.2</v>
      </c>
      <c r="T158" s="26">
        <v>122.9</v>
      </c>
      <c r="U158" s="26">
        <v>126.6</v>
      </c>
      <c r="V158" s="26">
        <v>120.9</v>
      </c>
      <c r="W158" s="26">
        <v>120.6</v>
      </c>
      <c r="X158" s="26">
        <v>122</v>
      </c>
      <c r="Y158" s="26">
        <v>119.4</v>
      </c>
      <c r="Z158" s="26">
        <v>111.7</v>
      </c>
      <c r="AA158" s="26">
        <v>117.8</v>
      </c>
      <c r="AB158" s="26">
        <v>125.1</v>
      </c>
      <c r="AC158" s="26">
        <v>112.3</v>
      </c>
      <c r="AD158" s="26">
        <v>117.2</v>
      </c>
      <c r="AE158" s="26">
        <v>124.8</v>
      </c>
      <c r="AF158" s="26">
        <v>1649.6</v>
      </c>
      <c r="AG158" s="26">
        <v>376.70000000000005</v>
      </c>
      <c r="AH158" s="26">
        <v>363.5</v>
      </c>
      <c r="AI158" s="26">
        <v>231.7</v>
      </c>
      <c r="AJ158" s="26">
        <v>235</v>
      </c>
      <c r="AK158" s="26">
        <v>3224.5</v>
      </c>
    </row>
    <row r="159" spans="1:37" x14ac:dyDescent="0.25">
      <c r="A159" t="s">
        <v>35</v>
      </c>
      <c r="B159">
        <v>2015</v>
      </c>
      <c r="C159" t="s">
        <v>43</v>
      </c>
      <c r="D159" s="25">
        <v>42248</v>
      </c>
      <c r="E159" s="26">
        <v>124.6</v>
      </c>
      <c r="F159" s="26">
        <v>130.4</v>
      </c>
      <c r="G159" s="26">
        <v>118.7</v>
      </c>
      <c r="H159" s="26">
        <v>128.9</v>
      </c>
      <c r="I159" s="26">
        <v>111.9</v>
      </c>
      <c r="J159" s="26">
        <v>128.4</v>
      </c>
      <c r="K159" s="26">
        <v>162.19999999999999</v>
      </c>
      <c r="L159" s="26">
        <v>150</v>
      </c>
      <c r="M159" s="26">
        <v>90.4</v>
      </c>
      <c r="N159" s="26">
        <v>128.4</v>
      </c>
      <c r="O159" s="26">
        <v>120.7</v>
      </c>
      <c r="P159" s="26">
        <v>132.5</v>
      </c>
      <c r="Q159" s="26">
        <v>131.19999999999999</v>
      </c>
      <c r="R159" s="26">
        <v>132</v>
      </c>
      <c r="S159" s="26">
        <v>127.9</v>
      </c>
      <c r="T159" s="26">
        <v>123.4</v>
      </c>
      <c r="U159" s="26">
        <v>127.2</v>
      </c>
      <c r="V159" s="26">
        <v>121.6</v>
      </c>
      <c r="W159" s="26">
        <v>120.4</v>
      </c>
      <c r="X159" s="26">
        <v>122.6</v>
      </c>
      <c r="Y159" s="26">
        <v>119.8</v>
      </c>
      <c r="Z159" s="26">
        <v>111.3</v>
      </c>
      <c r="AA159" s="26">
        <v>118.3</v>
      </c>
      <c r="AB159" s="26">
        <v>125.7</v>
      </c>
      <c r="AC159" s="26">
        <v>113.4</v>
      </c>
      <c r="AD159" s="26">
        <v>117.5</v>
      </c>
      <c r="AE159" s="26">
        <v>125.4</v>
      </c>
      <c r="AF159" s="26">
        <v>1658.3000000000002</v>
      </c>
      <c r="AG159" s="26">
        <v>378.5</v>
      </c>
      <c r="AH159" s="26">
        <v>364.6</v>
      </c>
      <c r="AI159" s="26">
        <v>233.2</v>
      </c>
      <c r="AJ159" s="26">
        <v>235.8</v>
      </c>
      <c r="AK159" s="26">
        <v>3239.4</v>
      </c>
    </row>
    <row r="160" spans="1:37" x14ac:dyDescent="0.25">
      <c r="A160" t="s">
        <v>35</v>
      </c>
      <c r="B160">
        <v>2015</v>
      </c>
      <c r="C160" t="s">
        <v>44</v>
      </c>
      <c r="D160" s="25">
        <v>42278</v>
      </c>
      <c r="E160" s="26">
        <v>125</v>
      </c>
      <c r="F160" s="26">
        <v>129.80000000000001</v>
      </c>
      <c r="G160" s="26">
        <v>118.9</v>
      </c>
      <c r="H160" s="26">
        <v>129.1</v>
      </c>
      <c r="I160" s="26">
        <v>113.3</v>
      </c>
      <c r="J160" s="26">
        <v>129</v>
      </c>
      <c r="K160" s="26">
        <v>160.4</v>
      </c>
      <c r="L160" s="26">
        <v>165.3</v>
      </c>
      <c r="M160" s="26">
        <v>92.3</v>
      </c>
      <c r="N160" s="26">
        <v>129.69999999999999</v>
      </c>
      <c r="O160" s="26">
        <v>121.1</v>
      </c>
      <c r="P160" s="26">
        <v>133</v>
      </c>
      <c r="Q160" s="26">
        <v>132.1</v>
      </c>
      <c r="R160" s="26">
        <v>132.5</v>
      </c>
      <c r="S160" s="26">
        <v>128.5</v>
      </c>
      <c r="T160" s="26">
        <v>123.8</v>
      </c>
      <c r="U160" s="26">
        <v>127.8</v>
      </c>
      <c r="V160" s="26">
        <v>122.4</v>
      </c>
      <c r="W160" s="26">
        <v>120.8</v>
      </c>
      <c r="X160" s="26">
        <v>123</v>
      </c>
      <c r="Y160" s="26">
        <v>120.4</v>
      </c>
      <c r="Z160" s="26">
        <v>111.4</v>
      </c>
      <c r="AA160" s="26">
        <v>118.7</v>
      </c>
      <c r="AB160" s="26">
        <v>125.9</v>
      </c>
      <c r="AC160" s="26">
        <v>113.9</v>
      </c>
      <c r="AD160" s="26">
        <v>117.9</v>
      </c>
      <c r="AE160" s="26">
        <v>126.1</v>
      </c>
      <c r="AF160" s="26">
        <v>1678.9999999999998</v>
      </c>
      <c r="AG160" s="26">
        <v>380.1</v>
      </c>
      <c r="AH160" s="26">
        <v>366.2</v>
      </c>
      <c r="AI160" s="26">
        <v>234.3</v>
      </c>
      <c r="AJ160" s="26">
        <v>236.60000000000002</v>
      </c>
      <c r="AK160" s="26">
        <v>3265.9999999999995</v>
      </c>
    </row>
    <row r="161" spans="1:37" x14ac:dyDescent="0.25">
      <c r="A161" t="s">
        <v>35</v>
      </c>
      <c r="B161">
        <v>2015</v>
      </c>
      <c r="C161" t="s">
        <v>46</v>
      </c>
      <c r="D161" s="25">
        <v>42309</v>
      </c>
      <c r="E161" s="26">
        <v>125.4</v>
      </c>
      <c r="F161" s="26">
        <v>130.30000000000001</v>
      </c>
      <c r="G161" s="26">
        <v>121.6</v>
      </c>
      <c r="H161" s="26">
        <v>129.19999999999999</v>
      </c>
      <c r="I161" s="26">
        <v>114.9</v>
      </c>
      <c r="J161" s="26">
        <v>128.19999999999999</v>
      </c>
      <c r="K161" s="26">
        <v>158.4</v>
      </c>
      <c r="L161" s="26">
        <v>171.2</v>
      </c>
      <c r="M161" s="26">
        <v>93.3</v>
      </c>
      <c r="N161" s="26">
        <v>131.19999999999999</v>
      </c>
      <c r="O161" s="26">
        <v>121.7</v>
      </c>
      <c r="P161" s="26">
        <v>134</v>
      </c>
      <c r="Q161" s="26">
        <v>132.69999999999999</v>
      </c>
      <c r="R161" s="26">
        <v>133.6</v>
      </c>
      <c r="S161" s="26">
        <v>129.30000000000001</v>
      </c>
      <c r="T161" s="26">
        <v>124.5</v>
      </c>
      <c r="U161" s="26">
        <v>128.6</v>
      </c>
      <c r="V161" s="26">
        <v>122.9</v>
      </c>
      <c r="W161" s="26">
        <v>121.6</v>
      </c>
      <c r="X161" s="26">
        <v>123.4</v>
      </c>
      <c r="Y161" s="26">
        <v>120.9</v>
      </c>
      <c r="Z161" s="26">
        <v>111.5</v>
      </c>
      <c r="AA161" s="26">
        <v>119.2</v>
      </c>
      <c r="AB161" s="26">
        <v>126.3</v>
      </c>
      <c r="AC161" s="26">
        <v>113.8</v>
      </c>
      <c r="AD161" s="26">
        <v>118.1</v>
      </c>
      <c r="AE161" s="26">
        <v>126.6</v>
      </c>
      <c r="AF161" s="26">
        <v>1692.1</v>
      </c>
      <c r="AG161" s="26">
        <v>382.4</v>
      </c>
      <c r="AH161" s="26">
        <v>367.9</v>
      </c>
      <c r="AI161" s="26">
        <v>234.7</v>
      </c>
      <c r="AJ161" s="26">
        <v>237.3</v>
      </c>
      <c r="AK161" s="26">
        <v>3285.8</v>
      </c>
    </row>
    <row r="162" spans="1:37" x14ac:dyDescent="0.25">
      <c r="A162" t="s">
        <v>35</v>
      </c>
      <c r="B162">
        <v>2015</v>
      </c>
      <c r="C162" t="s">
        <v>47</v>
      </c>
      <c r="D162" s="25">
        <v>42339</v>
      </c>
      <c r="E162" s="26">
        <v>125.7</v>
      </c>
      <c r="F162" s="26">
        <v>131.4</v>
      </c>
      <c r="G162" s="26">
        <v>124.8</v>
      </c>
      <c r="H162" s="26">
        <v>129.4</v>
      </c>
      <c r="I162" s="26">
        <v>115.3</v>
      </c>
      <c r="J162" s="26">
        <v>126.6</v>
      </c>
      <c r="K162" s="26">
        <v>146.69999999999999</v>
      </c>
      <c r="L162" s="26">
        <v>171.5</v>
      </c>
      <c r="M162" s="26">
        <v>94.5</v>
      </c>
      <c r="N162" s="26">
        <v>132.1</v>
      </c>
      <c r="O162" s="26">
        <v>122</v>
      </c>
      <c r="P162" s="26">
        <v>134.69999999999999</v>
      </c>
      <c r="Q162" s="26">
        <v>131.4</v>
      </c>
      <c r="R162" s="26">
        <v>134.5</v>
      </c>
      <c r="S162" s="26">
        <v>129.69999999999999</v>
      </c>
      <c r="T162" s="26">
        <v>124.8</v>
      </c>
      <c r="U162" s="26">
        <v>129</v>
      </c>
      <c r="V162" s="26">
        <v>122.4</v>
      </c>
      <c r="W162" s="26">
        <v>122</v>
      </c>
      <c r="X162" s="26">
        <v>123.6</v>
      </c>
      <c r="Y162" s="26">
        <v>121.4</v>
      </c>
      <c r="Z162" s="26">
        <v>111.5</v>
      </c>
      <c r="AA162" s="26">
        <v>119.6</v>
      </c>
      <c r="AB162" s="26">
        <v>126.2</v>
      </c>
      <c r="AC162" s="26">
        <v>113.7</v>
      </c>
      <c r="AD162" s="26">
        <v>118.3</v>
      </c>
      <c r="AE162" s="26">
        <v>126.1</v>
      </c>
      <c r="AF162" s="26">
        <v>1686.1000000000001</v>
      </c>
      <c r="AG162" s="26">
        <v>383.5</v>
      </c>
      <c r="AH162" s="26">
        <v>368</v>
      </c>
      <c r="AI162" s="26">
        <v>235.10000000000002</v>
      </c>
      <c r="AJ162" s="26">
        <v>237.89999999999998</v>
      </c>
      <c r="AK162" s="26">
        <v>3282.8</v>
      </c>
    </row>
    <row r="163" spans="1:37" x14ac:dyDescent="0.25">
      <c r="A163" t="s">
        <v>35</v>
      </c>
      <c r="B163">
        <v>2016</v>
      </c>
      <c r="C163" t="s">
        <v>32</v>
      </c>
      <c r="D163" s="25">
        <v>42370</v>
      </c>
      <c r="E163" s="26">
        <v>126.1</v>
      </c>
      <c r="F163" s="26">
        <v>134.1</v>
      </c>
      <c r="G163" s="26">
        <v>128.6</v>
      </c>
      <c r="H163" s="26">
        <v>129.9</v>
      </c>
      <c r="I163" s="26">
        <v>115.5</v>
      </c>
      <c r="J163" s="26">
        <v>125.7</v>
      </c>
      <c r="K163" s="26">
        <v>141.5</v>
      </c>
      <c r="L163" s="26">
        <v>170.7</v>
      </c>
      <c r="M163" s="26">
        <v>97.4</v>
      </c>
      <c r="N163" s="26">
        <v>132.9</v>
      </c>
      <c r="O163" s="26">
        <v>122.7</v>
      </c>
      <c r="P163" s="26">
        <v>135.30000000000001</v>
      </c>
      <c r="Q163" s="26">
        <v>131.30000000000001</v>
      </c>
      <c r="R163" s="26">
        <v>135.19999999999999</v>
      </c>
      <c r="S163" s="26">
        <v>130.30000000000001</v>
      </c>
      <c r="T163" s="26">
        <v>125.1</v>
      </c>
      <c r="U163" s="26">
        <v>129.5</v>
      </c>
      <c r="V163" s="26">
        <v>123.4</v>
      </c>
      <c r="W163" s="26">
        <v>122.7</v>
      </c>
      <c r="X163" s="26">
        <v>124.2</v>
      </c>
      <c r="Y163" s="26">
        <v>122</v>
      </c>
      <c r="Z163" s="26">
        <v>111.1</v>
      </c>
      <c r="AA163" s="26">
        <v>119.8</v>
      </c>
      <c r="AB163" s="26">
        <v>126.3</v>
      </c>
      <c r="AC163" s="26">
        <v>114.5</v>
      </c>
      <c r="AD163" s="26">
        <v>118.5</v>
      </c>
      <c r="AE163" s="26">
        <v>126.3</v>
      </c>
      <c r="AF163" s="26">
        <v>1691.7</v>
      </c>
      <c r="AG163" s="26">
        <v>384.9</v>
      </c>
      <c r="AH163" s="26">
        <v>370.3</v>
      </c>
      <c r="AI163" s="26">
        <v>236.5</v>
      </c>
      <c r="AJ163" s="26">
        <v>238.3</v>
      </c>
      <c r="AK163" s="26">
        <v>3294.3000000000006</v>
      </c>
    </row>
    <row r="164" spans="1:37" x14ac:dyDescent="0.25">
      <c r="A164" t="s">
        <v>35</v>
      </c>
      <c r="B164">
        <v>2016</v>
      </c>
      <c r="C164" t="s">
        <v>36</v>
      </c>
      <c r="D164" s="25">
        <v>42401</v>
      </c>
      <c r="E164" s="26">
        <v>126.4</v>
      </c>
      <c r="F164" s="26">
        <v>134.19999999999999</v>
      </c>
      <c r="G164" s="26">
        <v>128.69999999999999</v>
      </c>
      <c r="H164" s="26">
        <v>130.30000000000001</v>
      </c>
      <c r="I164" s="26">
        <v>114.8</v>
      </c>
      <c r="J164" s="26">
        <v>124.9</v>
      </c>
      <c r="K164" s="26">
        <v>130.30000000000001</v>
      </c>
      <c r="L164" s="26">
        <v>167.4</v>
      </c>
      <c r="M164" s="26">
        <v>98.8</v>
      </c>
      <c r="N164" s="26">
        <v>133.6</v>
      </c>
      <c r="O164" s="26">
        <v>123</v>
      </c>
      <c r="P164" s="26">
        <v>135.80000000000001</v>
      </c>
      <c r="Q164" s="26">
        <v>129.9</v>
      </c>
      <c r="R164" s="26">
        <v>135.9</v>
      </c>
      <c r="S164" s="26">
        <v>130.9</v>
      </c>
      <c r="T164" s="26">
        <v>125.8</v>
      </c>
      <c r="U164" s="26">
        <v>130.19999999999999</v>
      </c>
      <c r="V164" s="26">
        <v>124.4</v>
      </c>
      <c r="W164" s="26">
        <v>123.1</v>
      </c>
      <c r="X164" s="26">
        <v>124.6</v>
      </c>
      <c r="Y164" s="26">
        <v>122.5</v>
      </c>
      <c r="Z164" s="26">
        <v>111.4</v>
      </c>
      <c r="AA164" s="26">
        <v>120.3</v>
      </c>
      <c r="AB164" s="26">
        <v>126.6</v>
      </c>
      <c r="AC164" s="26">
        <v>116.6</v>
      </c>
      <c r="AD164" s="26">
        <v>119.1</v>
      </c>
      <c r="AE164" s="26">
        <v>126</v>
      </c>
      <c r="AF164" s="26">
        <v>1678.1</v>
      </c>
      <c r="AG164" s="26">
        <v>386.9</v>
      </c>
      <c r="AH164" s="26">
        <v>372.1</v>
      </c>
      <c r="AI164" s="26">
        <v>239.1</v>
      </c>
      <c r="AJ164" s="26">
        <v>239.39999999999998</v>
      </c>
      <c r="AK164" s="26">
        <v>3289.5</v>
      </c>
    </row>
    <row r="165" spans="1:37" x14ac:dyDescent="0.25">
      <c r="A165" t="s">
        <v>35</v>
      </c>
      <c r="B165">
        <v>2016</v>
      </c>
      <c r="C165" t="s">
        <v>37</v>
      </c>
      <c r="D165" s="25">
        <v>42430</v>
      </c>
      <c r="E165" s="26">
        <v>126.5</v>
      </c>
      <c r="F165" s="26">
        <v>135.1</v>
      </c>
      <c r="G165" s="26">
        <v>124.6</v>
      </c>
      <c r="H165" s="26">
        <v>130.19999999999999</v>
      </c>
      <c r="I165" s="26">
        <v>114.5</v>
      </c>
      <c r="J165" s="26">
        <v>126.2</v>
      </c>
      <c r="K165" s="26">
        <v>129.80000000000001</v>
      </c>
      <c r="L165" s="26">
        <v>164.3</v>
      </c>
      <c r="M165" s="26">
        <v>100.9</v>
      </c>
      <c r="N165" s="26">
        <v>133.9</v>
      </c>
      <c r="O165" s="26">
        <v>123.1</v>
      </c>
      <c r="P165" s="26">
        <v>136.30000000000001</v>
      </c>
      <c r="Q165" s="26">
        <v>129.80000000000001</v>
      </c>
      <c r="R165" s="26">
        <v>136.5</v>
      </c>
      <c r="S165" s="26">
        <v>131.30000000000001</v>
      </c>
      <c r="T165" s="26">
        <v>126.1</v>
      </c>
      <c r="U165" s="26">
        <v>130.5</v>
      </c>
      <c r="V165" s="26">
        <v>124.9</v>
      </c>
      <c r="W165" s="26">
        <v>122.4</v>
      </c>
      <c r="X165" s="26">
        <v>125.1</v>
      </c>
      <c r="Y165" s="26">
        <v>122.9</v>
      </c>
      <c r="Z165" s="26">
        <v>110.9</v>
      </c>
      <c r="AA165" s="26">
        <v>120.6</v>
      </c>
      <c r="AB165" s="26">
        <v>126.9</v>
      </c>
      <c r="AC165" s="26">
        <v>117.3</v>
      </c>
      <c r="AD165" s="26">
        <v>119.3</v>
      </c>
      <c r="AE165" s="26">
        <v>126</v>
      </c>
      <c r="AF165" s="26">
        <v>1675.2</v>
      </c>
      <c r="AG165" s="26">
        <v>387.9</v>
      </c>
      <c r="AH165" s="26">
        <v>372.4</v>
      </c>
      <c r="AI165" s="26">
        <v>240.2</v>
      </c>
      <c r="AJ165" s="26">
        <v>239.89999999999998</v>
      </c>
      <c r="AK165" s="26">
        <v>3289.9</v>
      </c>
    </row>
    <row r="166" spans="1:37" x14ac:dyDescent="0.25">
      <c r="A166" t="s">
        <v>35</v>
      </c>
      <c r="B166">
        <v>2016</v>
      </c>
      <c r="C166" t="s">
        <v>38</v>
      </c>
      <c r="D166" s="25">
        <v>42461</v>
      </c>
      <c r="E166" s="26">
        <v>126.6</v>
      </c>
      <c r="F166" s="26">
        <v>136.80000000000001</v>
      </c>
      <c r="G166" s="26">
        <v>122</v>
      </c>
      <c r="H166" s="26">
        <v>130.9</v>
      </c>
      <c r="I166" s="26">
        <v>114.8</v>
      </c>
      <c r="J166" s="26">
        <v>134.80000000000001</v>
      </c>
      <c r="K166" s="26">
        <v>135</v>
      </c>
      <c r="L166" s="26">
        <v>167.5</v>
      </c>
      <c r="M166" s="26">
        <v>106.4</v>
      </c>
      <c r="N166" s="26">
        <v>134.4</v>
      </c>
      <c r="O166" s="26">
        <v>123.6</v>
      </c>
      <c r="P166" s="26">
        <v>136.69999999999999</v>
      </c>
      <c r="Q166" s="26">
        <v>131.80000000000001</v>
      </c>
      <c r="R166" s="26">
        <v>137.1</v>
      </c>
      <c r="S166" s="26">
        <v>131.80000000000001</v>
      </c>
      <c r="T166" s="26">
        <v>126.4</v>
      </c>
      <c r="U166" s="26">
        <v>131</v>
      </c>
      <c r="V166" s="26">
        <v>125.6</v>
      </c>
      <c r="W166" s="26">
        <v>122.3</v>
      </c>
      <c r="X166" s="26">
        <v>125.5</v>
      </c>
      <c r="Y166" s="26">
        <v>123.2</v>
      </c>
      <c r="Z166" s="26">
        <v>112.1</v>
      </c>
      <c r="AA166" s="26">
        <v>121.1</v>
      </c>
      <c r="AB166" s="26">
        <v>127.7</v>
      </c>
      <c r="AC166" s="26">
        <v>118.1</v>
      </c>
      <c r="AD166" s="26">
        <v>120</v>
      </c>
      <c r="AE166" s="26">
        <v>127.3</v>
      </c>
      <c r="AF166" s="26">
        <v>1701.3</v>
      </c>
      <c r="AG166" s="26">
        <v>389.20000000000005</v>
      </c>
      <c r="AH166" s="26">
        <v>373.4</v>
      </c>
      <c r="AI166" s="26">
        <v>241.3</v>
      </c>
      <c r="AJ166" s="26">
        <v>241.1</v>
      </c>
      <c r="AK166" s="26">
        <v>3323.2</v>
      </c>
    </row>
    <row r="167" spans="1:37" x14ac:dyDescent="0.25">
      <c r="A167" t="s">
        <v>35</v>
      </c>
      <c r="B167">
        <v>2016</v>
      </c>
      <c r="C167" t="s">
        <v>39</v>
      </c>
      <c r="D167" s="25">
        <v>42491</v>
      </c>
      <c r="E167" s="26">
        <v>126.8</v>
      </c>
      <c r="F167" s="26">
        <v>139.1</v>
      </c>
      <c r="G167" s="26">
        <v>125.4</v>
      </c>
      <c r="H167" s="26">
        <v>131.69999999999999</v>
      </c>
      <c r="I167" s="26">
        <v>115</v>
      </c>
      <c r="J167" s="26">
        <v>136</v>
      </c>
      <c r="K167" s="26">
        <v>145.1</v>
      </c>
      <c r="L167" s="26">
        <v>171.7</v>
      </c>
      <c r="M167" s="26">
        <v>108.7</v>
      </c>
      <c r="N167" s="26">
        <v>135.30000000000001</v>
      </c>
      <c r="O167" s="26">
        <v>124.2</v>
      </c>
      <c r="P167" s="26">
        <v>137.4</v>
      </c>
      <c r="Q167" s="26">
        <v>134</v>
      </c>
      <c r="R167" s="26">
        <v>137.69999999999999</v>
      </c>
      <c r="S167" s="26">
        <v>132.19999999999999</v>
      </c>
      <c r="T167" s="26">
        <v>126.8</v>
      </c>
      <c r="U167" s="26">
        <v>131.4</v>
      </c>
      <c r="V167" s="26">
        <v>126</v>
      </c>
      <c r="W167" s="26">
        <v>122.7</v>
      </c>
      <c r="X167" s="26">
        <v>126</v>
      </c>
      <c r="Y167" s="26">
        <v>123.7</v>
      </c>
      <c r="Z167" s="26">
        <v>112.8</v>
      </c>
      <c r="AA167" s="26">
        <v>121.5</v>
      </c>
      <c r="AB167" s="26">
        <v>128.5</v>
      </c>
      <c r="AC167" s="26">
        <v>119.2</v>
      </c>
      <c r="AD167" s="26">
        <v>120.7</v>
      </c>
      <c r="AE167" s="26">
        <v>128.6</v>
      </c>
      <c r="AF167" s="26">
        <v>1730.4</v>
      </c>
      <c r="AG167" s="26">
        <v>390.4</v>
      </c>
      <c r="AH167" s="26">
        <v>374.7</v>
      </c>
      <c r="AI167" s="26">
        <v>242.9</v>
      </c>
      <c r="AJ167" s="26">
        <v>242.2</v>
      </c>
      <c r="AK167" s="26">
        <v>3359.6</v>
      </c>
    </row>
    <row r="168" spans="1:37" x14ac:dyDescent="0.25">
      <c r="A168" t="s">
        <v>35</v>
      </c>
      <c r="B168">
        <v>2016</v>
      </c>
      <c r="C168" t="s">
        <v>40</v>
      </c>
      <c r="D168" s="25">
        <v>42522</v>
      </c>
      <c r="E168" s="26">
        <v>127.7</v>
      </c>
      <c r="F168" s="26">
        <v>140.5</v>
      </c>
      <c r="G168" s="26">
        <v>128.30000000000001</v>
      </c>
      <c r="H168" s="26">
        <v>132.6</v>
      </c>
      <c r="I168" s="26">
        <v>115.5</v>
      </c>
      <c r="J168" s="26">
        <v>136.5</v>
      </c>
      <c r="K168" s="26">
        <v>159.69999999999999</v>
      </c>
      <c r="L168" s="26">
        <v>174.3</v>
      </c>
      <c r="M168" s="26">
        <v>109.9</v>
      </c>
      <c r="N168" s="26">
        <v>136.30000000000001</v>
      </c>
      <c r="O168" s="26">
        <v>124.4</v>
      </c>
      <c r="P168" s="26">
        <v>138.1</v>
      </c>
      <c r="Q168" s="26">
        <v>136.80000000000001</v>
      </c>
      <c r="R168" s="26">
        <v>138.69999999999999</v>
      </c>
      <c r="S168" s="26">
        <v>132.9</v>
      </c>
      <c r="T168" s="26">
        <v>127.2</v>
      </c>
      <c r="U168" s="26">
        <v>132</v>
      </c>
      <c r="V168" s="26">
        <v>125.5</v>
      </c>
      <c r="W168" s="26">
        <v>123.3</v>
      </c>
      <c r="X168" s="26">
        <v>126.4</v>
      </c>
      <c r="Y168" s="26">
        <v>124.1</v>
      </c>
      <c r="Z168" s="26">
        <v>114.2</v>
      </c>
      <c r="AA168" s="26">
        <v>121.7</v>
      </c>
      <c r="AB168" s="26">
        <v>129.69999999999999</v>
      </c>
      <c r="AC168" s="26">
        <v>119.4</v>
      </c>
      <c r="AD168" s="26">
        <v>121.5</v>
      </c>
      <c r="AE168" s="26">
        <v>130.1</v>
      </c>
      <c r="AF168" s="26">
        <v>1760.6</v>
      </c>
      <c r="AG168" s="26">
        <v>392.1</v>
      </c>
      <c r="AH168" s="26">
        <v>375.20000000000005</v>
      </c>
      <c r="AI168" s="26">
        <v>243.5</v>
      </c>
      <c r="AJ168" s="26">
        <v>243.2</v>
      </c>
      <c r="AK168" s="26">
        <v>3397.2</v>
      </c>
    </row>
    <row r="169" spans="1:37" x14ac:dyDescent="0.25">
      <c r="A169" t="s">
        <v>35</v>
      </c>
      <c r="B169">
        <v>2016</v>
      </c>
      <c r="C169" t="s">
        <v>41</v>
      </c>
      <c r="D169" s="25">
        <v>42552</v>
      </c>
      <c r="E169" s="26">
        <v>128.5</v>
      </c>
      <c r="F169" s="26">
        <v>141.19999999999999</v>
      </c>
      <c r="G169" s="26">
        <v>132.30000000000001</v>
      </c>
      <c r="H169" s="26">
        <v>133.5</v>
      </c>
      <c r="I169" s="26">
        <v>116.4</v>
      </c>
      <c r="J169" s="26">
        <v>137.80000000000001</v>
      </c>
      <c r="K169" s="26">
        <v>165.4</v>
      </c>
      <c r="L169" s="26">
        <v>177.4</v>
      </c>
      <c r="M169" s="26">
        <v>111.3</v>
      </c>
      <c r="N169" s="26">
        <v>137.5</v>
      </c>
      <c r="O169" s="26">
        <v>125</v>
      </c>
      <c r="P169" s="26">
        <v>138.80000000000001</v>
      </c>
      <c r="Q169" s="26">
        <v>138.4</v>
      </c>
      <c r="R169" s="26">
        <v>139.30000000000001</v>
      </c>
      <c r="S169" s="26">
        <v>133.5</v>
      </c>
      <c r="T169" s="26">
        <v>127.6</v>
      </c>
      <c r="U169" s="26">
        <v>132.69999999999999</v>
      </c>
      <c r="V169" s="26">
        <v>126.4</v>
      </c>
      <c r="W169" s="26">
        <v>123.4</v>
      </c>
      <c r="X169" s="26">
        <v>126.9</v>
      </c>
      <c r="Y169" s="26">
        <v>124.5</v>
      </c>
      <c r="Z169" s="26">
        <v>113.9</v>
      </c>
      <c r="AA169" s="26">
        <v>122.4</v>
      </c>
      <c r="AB169" s="26">
        <v>130.80000000000001</v>
      </c>
      <c r="AC169" s="26">
        <v>120.5</v>
      </c>
      <c r="AD169" s="26">
        <v>121.9</v>
      </c>
      <c r="AE169" s="26">
        <v>131.1</v>
      </c>
      <c r="AF169" s="26">
        <v>1783.5</v>
      </c>
      <c r="AG169" s="26">
        <v>393.8</v>
      </c>
      <c r="AH169" s="26">
        <v>376.70000000000005</v>
      </c>
      <c r="AI169" s="26">
        <v>245</v>
      </c>
      <c r="AJ169" s="26">
        <v>244.3</v>
      </c>
      <c r="AK169" s="26">
        <v>3427.3</v>
      </c>
    </row>
    <row r="170" spans="1:37" x14ac:dyDescent="0.25">
      <c r="A170" t="s">
        <v>35</v>
      </c>
      <c r="B170">
        <v>2016</v>
      </c>
      <c r="C170" t="s">
        <v>42</v>
      </c>
      <c r="D170" s="25">
        <v>42583</v>
      </c>
      <c r="E170" s="26">
        <v>129.30000000000001</v>
      </c>
      <c r="F170" s="26">
        <v>139.30000000000001</v>
      </c>
      <c r="G170" s="26">
        <v>131.6</v>
      </c>
      <c r="H170" s="26">
        <v>134.1</v>
      </c>
      <c r="I170" s="26">
        <v>116.9</v>
      </c>
      <c r="J170" s="26">
        <v>138.1</v>
      </c>
      <c r="K170" s="26">
        <v>159.1</v>
      </c>
      <c r="L170" s="26">
        <v>175.6</v>
      </c>
      <c r="M170" s="26">
        <v>112.9</v>
      </c>
      <c r="N170" s="26">
        <v>138.1</v>
      </c>
      <c r="O170" s="26">
        <v>125.5</v>
      </c>
      <c r="P170" s="26">
        <v>139.5</v>
      </c>
      <c r="Q170" s="26">
        <v>137.9</v>
      </c>
      <c r="R170" s="26">
        <v>140.19999999999999</v>
      </c>
      <c r="S170" s="26">
        <v>134.1</v>
      </c>
      <c r="T170" s="26">
        <v>128.19999999999999</v>
      </c>
      <c r="U170" s="26">
        <v>133.19999999999999</v>
      </c>
      <c r="V170" s="26">
        <v>127.3</v>
      </c>
      <c r="W170" s="26">
        <v>123.6</v>
      </c>
      <c r="X170" s="26">
        <v>127.4</v>
      </c>
      <c r="Y170" s="26">
        <v>124.8</v>
      </c>
      <c r="Z170" s="26">
        <v>113.1</v>
      </c>
      <c r="AA170" s="26">
        <v>122.7</v>
      </c>
      <c r="AB170" s="26">
        <v>131.69999999999999</v>
      </c>
      <c r="AC170" s="26">
        <v>121.5</v>
      </c>
      <c r="AD170" s="26">
        <v>122.1</v>
      </c>
      <c r="AE170" s="26">
        <v>131.1</v>
      </c>
      <c r="AF170" s="26">
        <v>1777.9</v>
      </c>
      <c r="AG170" s="26">
        <v>395.49999999999994</v>
      </c>
      <c r="AH170" s="26">
        <v>378.29999999999995</v>
      </c>
      <c r="AI170" s="26">
        <v>246.3</v>
      </c>
      <c r="AJ170" s="26">
        <v>244.8</v>
      </c>
      <c r="AK170" s="26">
        <v>3427.8</v>
      </c>
    </row>
    <row r="171" spans="1:37" x14ac:dyDescent="0.25">
      <c r="A171" t="s">
        <v>35</v>
      </c>
      <c r="B171">
        <v>2016</v>
      </c>
      <c r="C171" t="s">
        <v>43</v>
      </c>
      <c r="D171" s="25">
        <v>42614</v>
      </c>
      <c r="E171" s="26">
        <v>129.9</v>
      </c>
      <c r="F171" s="26">
        <v>138</v>
      </c>
      <c r="G171" s="26">
        <v>130.5</v>
      </c>
      <c r="H171" s="26">
        <v>134.4</v>
      </c>
      <c r="I171" s="26">
        <v>117.2</v>
      </c>
      <c r="J171" s="26">
        <v>136.1</v>
      </c>
      <c r="K171" s="26">
        <v>150.69999999999999</v>
      </c>
      <c r="L171" s="26">
        <v>171.5</v>
      </c>
      <c r="M171" s="26">
        <v>113.8</v>
      </c>
      <c r="N171" s="26">
        <v>138.80000000000001</v>
      </c>
      <c r="O171" s="26">
        <v>126</v>
      </c>
      <c r="P171" s="26">
        <v>140.19999999999999</v>
      </c>
      <c r="Q171" s="26">
        <v>136.6</v>
      </c>
      <c r="R171" s="26">
        <v>141</v>
      </c>
      <c r="S171" s="26">
        <v>134.6</v>
      </c>
      <c r="T171" s="26">
        <v>128.6</v>
      </c>
      <c r="U171" s="26">
        <v>133.80000000000001</v>
      </c>
      <c r="V171" s="26">
        <v>127.9</v>
      </c>
      <c r="W171" s="26">
        <v>124.1</v>
      </c>
      <c r="X171" s="26">
        <v>127.9</v>
      </c>
      <c r="Y171" s="26">
        <v>125.4</v>
      </c>
      <c r="Z171" s="26">
        <v>114.3</v>
      </c>
      <c r="AA171" s="26">
        <v>122.9</v>
      </c>
      <c r="AB171" s="26">
        <v>131.80000000000001</v>
      </c>
      <c r="AC171" s="26">
        <v>122.1</v>
      </c>
      <c r="AD171" s="26">
        <v>122.8</v>
      </c>
      <c r="AE171" s="26">
        <v>130.9</v>
      </c>
      <c r="AF171" s="26">
        <v>1763.6999999999998</v>
      </c>
      <c r="AG171" s="26">
        <v>397</v>
      </c>
      <c r="AH171" s="26">
        <v>379.9</v>
      </c>
      <c r="AI171" s="26">
        <v>247.5</v>
      </c>
      <c r="AJ171" s="26">
        <v>245.7</v>
      </c>
      <c r="AK171" s="26">
        <v>3420.8999999999996</v>
      </c>
    </row>
    <row r="172" spans="1:37" x14ac:dyDescent="0.25">
      <c r="A172" t="s">
        <v>35</v>
      </c>
      <c r="B172">
        <v>2016</v>
      </c>
      <c r="C172" t="s">
        <v>44</v>
      </c>
      <c r="D172" s="25">
        <v>42644</v>
      </c>
      <c r="E172" s="26">
        <v>130.5</v>
      </c>
      <c r="F172" s="26">
        <v>137.9</v>
      </c>
      <c r="G172" s="26">
        <v>130.19999999999999</v>
      </c>
      <c r="H172" s="26">
        <v>134.80000000000001</v>
      </c>
      <c r="I172" s="26">
        <v>117.8</v>
      </c>
      <c r="J172" s="26">
        <v>134.69999999999999</v>
      </c>
      <c r="K172" s="26">
        <v>151.19999999999999</v>
      </c>
      <c r="L172" s="26">
        <v>172.1</v>
      </c>
      <c r="M172" s="26">
        <v>114.1</v>
      </c>
      <c r="N172" s="26">
        <v>139.30000000000001</v>
      </c>
      <c r="O172" s="26">
        <v>126.1</v>
      </c>
      <c r="P172" s="26">
        <v>141.1</v>
      </c>
      <c r="Q172" s="26">
        <v>137</v>
      </c>
      <c r="R172" s="26">
        <v>141.80000000000001</v>
      </c>
      <c r="S172" s="26">
        <v>135.5</v>
      </c>
      <c r="T172" s="26">
        <v>129.1</v>
      </c>
      <c r="U172" s="26">
        <v>134.5</v>
      </c>
      <c r="V172" s="26">
        <v>128.69999999999999</v>
      </c>
      <c r="W172" s="26">
        <v>124.3</v>
      </c>
      <c r="X172" s="26">
        <v>128.4</v>
      </c>
      <c r="Y172" s="26">
        <v>126.1</v>
      </c>
      <c r="Z172" s="26">
        <v>115.2</v>
      </c>
      <c r="AA172" s="26">
        <v>123.5</v>
      </c>
      <c r="AB172" s="26">
        <v>132.4</v>
      </c>
      <c r="AC172" s="26">
        <v>122.1</v>
      </c>
      <c r="AD172" s="26">
        <v>123.4</v>
      </c>
      <c r="AE172" s="26">
        <v>131.4</v>
      </c>
      <c r="AF172" s="26">
        <v>1766.7999999999995</v>
      </c>
      <c r="AG172" s="26">
        <v>399.1</v>
      </c>
      <c r="AH172" s="26">
        <v>381.4</v>
      </c>
      <c r="AI172" s="26">
        <v>248.2</v>
      </c>
      <c r="AJ172" s="26">
        <v>246.9</v>
      </c>
      <c r="AK172" s="26">
        <v>3431.7999999999993</v>
      </c>
    </row>
    <row r="173" spans="1:37" x14ac:dyDescent="0.25">
      <c r="A173" t="s">
        <v>35</v>
      </c>
      <c r="B173">
        <v>2016</v>
      </c>
      <c r="C173" t="s">
        <v>46</v>
      </c>
      <c r="D173" s="25">
        <v>42675</v>
      </c>
      <c r="E173" s="26">
        <v>131.4</v>
      </c>
      <c r="F173" s="26">
        <v>137.80000000000001</v>
      </c>
      <c r="G173" s="26">
        <v>132</v>
      </c>
      <c r="H173" s="26">
        <v>135</v>
      </c>
      <c r="I173" s="26">
        <v>118</v>
      </c>
      <c r="J173" s="26">
        <v>134.1</v>
      </c>
      <c r="K173" s="26">
        <v>141.9</v>
      </c>
      <c r="L173" s="26">
        <v>171.7</v>
      </c>
      <c r="M173" s="26">
        <v>114.1</v>
      </c>
      <c r="N173" s="26">
        <v>139.69999999999999</v>
      </c>
      <c r="O173" s="26">
        <v>126.2</v>
      </c>
      <c r="P173" s="26">
        <v>141.80000000000001</v>
      </c>
      <c r="Q173" s="26">
        <v>136.1</v>
      </c>
      <c r="R173" s="26">
        <v>142</v>
      </c>
      <c r="S173" s="26">
        <v>135.80000000000001</v>
      </c>
      <c r="T173" s="26">
        <v>129.30000000000001</v>
      </c>
      <c r="U173" s="26">
        <v>135</v>
      </c>
      <c r="V173" s="26">
        <v>129.1</v>
      </c>
      <c r="W173" s="26">
        <v>125</v>
      </c>
      <c r="X173" s="26">
        <v>128.6</v>
      </c>
      <c r="Y173" s="26">
        <v>126.4</v>
      </c>
      <c r="Z173" s="26">
        <v>115.7</v>
      </c>
      <c r="AA173" s="26">
        <v>124</v>
      </c>
      <c r="AB173" s="26">
        <v>132.80000000000001</v>
      </c>
      <c r="AC173" s="26">
        <v>122.6</v>
      </c>
      <c r="AD173" s="26">
        <v>123.8</v>
      </c>
      <c r="AE173" s="26">
        <v>131.19999999999999</v>
      </c>
      <c r="AF173" s="26">
        <v>1759.8</v>
      </c>
      <c r="AG173" s="26">
        <v>400.1</v>
      </c>
      <c r="AH173" s="26">
        <v>382.7</v>
      </c>
      <c r="AI173" s="26">
        <v>249</v>
      </c>
      <c r="AJ173" s="26">
        <v>247.8</v>
      </c>
      <c r="AK173" s="26">
        <v>3429.9</v>
      </c>
    </row>
    <row r="174" spans="1:37" x14ac:dyDescent="0.25">
      <c r="A174" t="s">
        <v>35</v>
      </c>
      <c r="B174">
        <v>2016</v>
      </c>
      <c r="C174" t="s">
        <v>47</v>
      </c>
      <c r="D174" s="25">
        <v>42705</v>
      </c>
      <c r="E174" s="26">
        <v>132.30000000000001</v>
      </c>
      <c r="F174" s="26">
        <v>137.6</v>
      </c>
      <c r="G174" s="26">
        <v>132.9</v>
      </c>
      <c r="H174" s="26">
        <v>135.1</v>
      </c>
      <c r="I174" s="26">
        <v>118.6</v>
      </c>
      <c r="J174" s="26">
        <v>132.69999999999999</v>
      </c>
      <c r="K174" s="26">
        <v>125.3</v>
      </c>
      <c r="L174" s="26">
        <v>168.7</v>
      </c>
      <c r="M174" s="26">
        <v>114.4</v>
      </c>
      <c r="N174" s="26">
        <v>140.19999999999999</v>
      </c>
      <c r="O174" s="26">
        <v>126.6</v>
      </c>
      <c r="P174" s="26">
        <v>142.30000000000001</v>
      </c>
      <c r="Q174" s="26">
        <v>134</v>
      </c>
      <c r="R174" s="26">
        <v>143.1</v>
      </c>
      <c r="S174" s="26">
        <v>136.30000000000001</v>
      </c>
      <c r="T174" s="26">
        <v>129.80000000000001</v>
      </c>
      <c r="U174" s="26">
        <v>135.4</v>
      </c>
      <c r="V174" s="26">
        <v>128.5</v>
      </c>
      <c r="W174" s="26">
        <v>126.6</v>
      </c>
      <c r="X174" s="26">
        <v>129.19999999999999</v>
      </c>
      <c r="Y174" s="26">
        <v>126.9</v>
      </c>
      <c r="Z174" s="26">
        <v>116</v>
      </c>
      <c r="AA174" s="26">
        <v>124.2</v>
      </c>
      <c r="AB174" s="26">
        <v>133.1</v>
      </c>
      <c r="AC174" s="26">
        <v>121.1</v>
      </c>
      <c r="AD174" s="26">
        <v>123.9</v>
      </c>
      <c r="AE174" s="26">
        <v>130.4</v>
      </c>
      <c r="AF174" s="26">
        <v>1740.7</v>
      </c>
      <c r="AG174" s="26">
        <v>401.5</v>
      </c>
      <c r="AH174" s="26">
        <v>384.29999999999995</v>
      </c>
      <c r="AI174" s="26">
        <v>248</v>
      </c>
      <c r="AJ174" s="26">
        <v>248.10000000000002</v>
      </c>
      <c r="AK174" s="26">
        <v>3414.7999999999997</v>
      </c>
    </row>
    <row r="175" spans="1:37" x14ac:dyDescent="0.25">
      <c r="A175" t="s">
        <v>35</v>
      </c>
      <c r="B175">
        <v>2017</v>
      </c>
      <c r="C175" t="s">
        <v>32</v>
      </c>
      <c r="D175" s="25">
        <v>42736</v>
      </c>
      <c r="E175" s="26">
        <v>132.80000000000001</v>
      </c>
      <c r="F175" s="26">
        <v>138.19999999999999</v>
      </c>
      <c r="G175" s="26">
        <v>132.19999999999999</v>
      </c>
      <c r="H175" s="26">
        <v>135.4</v>
      </c>
      <c r="I175" s="26">
        <v>119.1</v>
      </c>
      <c r="J175" s="26">
        <v>133</v>
      </c>
      <c r="K175" s="26">
        <v>119.4</v>
      </c>
      <c r="L175" s="26">
        <v>159.5</v>
      </c>
      <c r="M175" s="26">
        <v>115.6</v>
      </c>
      <c r="N175" s="26">
        <v>139.6</v>
      </c>
      <c r="O175" s="26">
        <v>126.6</v>
      </c>
      <c r="P175" s="26">
        <v>142.80000000000001</v>
      </c>
      <c r="Q175" s="26">
        <v>133.1</v>
      </c>
      <c r="R175" s="26">
        <v>143.80000000000001</v>
      </c>
      <c r="S175" s="26">
        <v>136.6</v>
      </c>
      <c r="T175" s="26">
        <v>130.19999999999999</v>
      </c>
      <c r="U175" s="26">
        <v>135.6</v>
      </c>
      <c r="V175" s="26">
        <v>129.6</v>
      </c>
      <c r="W175" s="26">
        <v>126.8</v>
      </c>
      <c r="X175" s="26">
        <v>129.4</v>
      </c>
      <c r="Y175" s="26">
        <v>127.1</v>
      </c>
      <c r="Z175" s="26">
        <v>117</v>
      </c>
      <c r="AA175" s="26">
        <v>124.2</v>
      </c>
      <c r="AB175" s="26">
        <v>133.30000000000001</v>
      </c>
      <c r="AC175" s="26">
        <v>121.7</v>
      </c>
      <c r="AD175" s="26">
        <v>124.4</v>
      </c>
      <c r="AE175" s="26">
        <v>130.30000000000001</v>
      </c>
      <c r="AF175" s="26">
        <v>1727.2999999999995</v>
      </c>
      <c r="AG175" s="26">
        <v>402.4</v>
      </c>
      <c r="AH175" s="26">
        <v>385.79999999999995</v>
      </c>
      <c r="AI175" s="26">
        <v>248.8</v>
      </c>
      <c r="AJ175" s="26">
        <v>248.60000000000002</v>
      </c>
      <c r="AK175" s="26">
        <v>3406.9999999999995</v>
      </c>
    </row>
    <row r="176" spans="1:37" x14ac:dyDescent="0.25">
      <c r="A176" t="s">
        <v>35</v>
      </c>
      <c r="B176">
        <v>2017</v>
      </c>
      <c r="C176" t="s">
        <v>36</v>
      </c>
      <c r="D176" s="25">
        <v>42767</v>
      </c>
      <c r="E176" s="26">
        <v>133.1</v>
      </c>
      <c r="F176" s="26">
        <v>138.80000000000001</v>
      </c>
      <c r="G176" s="26">
        <v>129.30000000000001</v>
      </c>
      <c r="H176" s="26">
        <v>135.80000000000001</v>
      </c>
      <c r="I176" s="26">
        <v>119.2</v>
      </c>
      <c r="J176" s="26">
        <v>135.30000000000001</v>
      </c>
      <c r="K176" s="26">
        <v>119.5</v>
      </c>
      <c r="L176" s="26">
        <v>152.19999999999999</v>
      </c>
      <c r="M176" s="26">
        <v>117.3</v>
      </c>
      <c r="N176" s="26">
        <v>138.69999999999999</v>
      </c>
      <c r="O176" s="26">
        <v>126.9</v>
      </c>
      <c r="P176" s="26">
        <v>143.19999999999999</v>
      </c>
      <c r="Q176" s="26">
        <v>133</v>
      </c>
      <c r="R176" s="26">
        <v>144.4</v>
      </c>
      <c r="S176" s="26">
        <v>136.80000000000001</v>
      </c>
      <c r="T176" s="26">
        <v>130.30000000000001</v>
      </c>
      <c r="U176" s="26">
        <v>135.9</v>
      </c>
      <c r="V176" s="26">
        <v>130.5</v>
      </c>
      <c r="W176" s="26">
        <v>127.9</v>
      </c>
      <c r="X176" s="26">
        <v>129.69999999999999</v>
      </c>
      <c r="Y176" s="26">
        <v>127.4</v>
      </c>
      <c r="Z176" s="26">
        <v>117.4</v>
      </c>
      <c r="AA176" s="26">
        <v>124.6</v>
      </c>
      <c r="AB176" s="26">
        <v>133.4</v>
      </c>
      <c r="AC176" s="26">
        <v>122.6</v>
      </c>
      <c r="AD176" s="26">
        <v>124.8</v>
      </c>
      <c r="AE176" s="26">
        <v>130.6</v>
      </c>
      <c r="AF176" s="26">
        <v>1722.3000000000002</v>
      </c>
      <c r="AG176" s="26">
        <v>403</v>
      </c>
      <c r="AH176" s="26">
        <v>388.09999999999997</v>
      </c>
      <c r="AI176" s="26">
        <v>250</v>
      </c>
      <c r="AJ176" s="26">
        <v>249.39999999999998</v>
      </c>
      <c r="AK176" s="26">
        <v>3408</v>
      </c>
    </row>
    <row r="177" spans="1:37" x14ac:dyDescent="0.25">
      <c r="A177" t="s">
        <v>35</v>
      </c>
      <c r="B177">
        <v>2017</v>
      </c>
      <c r="C177" t="s">
        <v>37</v>
      </c>
      <c r="D177" s="25">
        <v>42795</v>
      </c>
      <c r="E177" s="26">
        <v>133.30000000000001</v>
      </c>
      <c r="F177" s="26">
        <v>139</v>
      </c>
      <c r="G177" s="26">
        <v>128.6</v>
      </c>
      <c r="H177" s="26">
        <v>136.30000000000001</v>
      </c>
      <c r="I177" s="26">
        <v>118.8</v>
      </c>
      <c r="J177" s="26">
        <v>138.30000000000001</v>
      </c>
      <c r="K177" s="26">
        <v>120.5</v>
      </c>
      <c r="L177" s="26">
        <v>143.9</v>
      </c>
      <c r="M177" s="26">
        <v>118</v>
      </c>
      <c r="N177" s="26">
        <v>137.9</v>
      </c>
      <c r="O177" s="26">
        <v>127.2</v>
      </c>
      <c r="P177" s="26">
        <v>144</v>
      </c>
      <c r="Q177" s="26">
        <v>133.1</v>
      </c>
      <c r="R177" s="26">
        <v>145.1</v>
      </c>
      <c r="S177" s="26">
        <v>137.30000000000001</v>
      </c>
      <c r="T177" s="26">
        <v>130.6</v>
      </c>
      <c r="U177" s="26">
        <v>136.4</v>
      </c>
      <c r="V177" s="26">
        <v>131.1</v>
      </c>
      <c r="W177" s="26">
        <v>129.1</v>
      </c>
      <c r="X177" s="26">
        <v>130.1</v>
      </c>
      <c r="Y177" s="26">
        <v>127.8</v>
      </c>
      <c r="Z177" s="26">
        <v>117.6</v>
      </c>
      <c r="AA177" s="26">
        <v>125</v>
      </c>
      <c r="AB177" s="26">
        <v>133.80000000000001</v>
      </c>
      <c r="AC177" s="26">
        <v>122.6</v>
      </c>
      <c r="AD177" s="26">
        <v>125.1</v>
      </c>
      <c r="AE177" s="26">
        <v>130.9</v>
      </c>
      <c r="AF177" s="26">
        <v>1718.9</v>
      </c>
      <c r="AG177" s="26">
        <v>404.29999999999995</v>
      </c>
      <c r="AH177" s="26">
        <v>390.29999999999995</v>
      </c>
      <c r="AI177" s="26">
        <v>250.39999999999998</v>
      </c>
      <c r="AJ177" s="26">
        <v>250.1</v>
      </c>
      <c r="AK177" s="26">
        <v>3410.5</v>
      </c>
    </row>
    <row r="178" spans="1:37" x14ac:dyDescent="0.25">
      <c r="A178" t="s">
        <v>35</v>
      </c>
      <c r="B178">
        <v>2017</v>
      </c>
      <c r="C178" t="s">
        <v>38</v>
      </c>
      <c r="D178" s="25">
        <v>42826</v>
      </c>
      <c r="E178" s="26">
        <v>133</v>
      </c>
      <c r="F178" s="26">
        <v>139.4</v>
      </c>
      <c r="G178" s="26">
        <v>126.1</v>
      </c>
      <c r="H178" s="26">
        <v>137.19999999999999</v>
      </c>
      <c r="I178" s="26">
        <v>118.4</v>
      </c>
      <c r="J178" s="26">
        <v>139.9</v>
      </c>
      <c r="K178" s="26">
        <v>123.4</v>
      </c>
      <c r="L178" s="26">
        <v>140.9</v>
      </c>
      <c r="M178" s="26">
        <v>118.5</v>
      </c>
      <c r="N178" s="26">
        <v>136.5</v>
      </c>
      <c r="O178" s="26">
        <v>127.4</v>
      </c>
      <c r="P178" s="26">
        <v>144.19999999999999</v>
      </c>
      <c r="Q178" s="26">
        <v>133.5</v>
      </c>
      <c r="R178" s="26">
        <v>145.4</v>
      </c>
      <c r="S178" s="26">
        <v>138</v>
      </c>
      <c r="T178" s="26">
        <v>131.1</v>
      </c>
      <c r="U178" s="26">
        <v>137</v>
      </c>
      <c r="V178" s="26">
        <v>131.69999999999999</v>
      </c>
      <c r="W178" s="26">
        <v>129.80000000000001</v>
      </c>
      <c r="X178" s="26">
        <v>130.4</v>
      </c>
      <c r="Y178" s="26">
        <v>128.1</v>
      </c>
      <c r="Z178" s="26">
        <v>116.6</v>
      </c>
      <c r="AA178" s="26">
        <v>125.1</v>
      </c>
      <c r="AB178" s="26">
        <v>134.5</v>
      </c>
      <c r="AC178" s="26">
        <v>123.1</v>
      </c>
      <c r="AD178" s="26">
        <v>125.1</v>
      </c>
      <c r="AE178" s="26">
        <v>131.1</v>
      </c>
      <c r="AF178" s="26">
        <v>1718.4</v>
      </c>
      <c r="AG178" s="26">
        <v>406.1</v>
      </c>
      <c r="AH178" s="26">
        <v>391.9</v>
      </c>
      <c r="AI178" s="26">
        <v>251.2</v>
      </c>
      <c r="AJ178" s="26">
        <v>250.2</v>
      </c>
      <c r="AK178" s="26">
        <v>3414.2999999999997</v>
      </c>
    </row>
    <row r="179" spans="1:37" x14ac:dyDescent="0.25">
      <c r="A179" t="s">
        <v>35</v>
      </c>
      <c r="B179">
        <v>2017</v>
      </c>
      <c r="C179" t="s">
        <v>39</v>
      </c>
      <c r="D179" s="25">
        <v>42856</v>
      </c>
      <c r="E179" s="26">
        <v>132.9</v>
      </c>
      <c r="F179" s="26">
        <v>141.6</v>
      </c>
      <c r="G179" s="26">
        <v>126.3</v>
      </c>
      <c r="H179" s="26">
        <v>137.69999999999999</v>
      </c>
      <c r="I179" s="26">
        <v>118.1</v>
      </c>
      <c r="J179" s="26">
        <v>137.9</v>
      </c>
      <c r="K179" s="26">
        <v>125.6</v>
      </c>
      <c r="L179" s="26">
        <v>138.30000000000001</v>
      </c>
      <c r="M179" s="26">
        <v>119.4</v>
      </c>
      <c r="N179" s="26">
        <v>136</v>
      </c>
      <c r="O179" s="26">
        <v>127.6</v>
      </c>
      <c r="P179" s="26">
        <v>144.5</v>
      </c>
      <c r="Q179" s="26">
        <v>133.69999999999999</v>
      </c>
      <c r="R179" s="26">
        <v>146.19999999999999</v>
      </c>
      <c r="S179" s="26">
        <v>138.19999999999999</v>
      </c>
      <c r="T179" s="26">
        <v>131.4</v>
      </c>
      <c r="U179" s="26">
        <v>137.19999999999999</v>
      </c>
      <c r="V179" s="26">
        <v>132.1</v>
      </c>
      <c r="W179" s="26">
        <v>129.4</v>
      </c>
      <c r="X179" s="26">
        <v>130.9</v>
      </c>
      <c r="Y179" s="26">
        <v>128.4</v>
      </c>
      <c r="Z179" s="26">
        <v>116.7</v>
      </c>
      <c r="AA179" s="26">
        <v>125.7</v>
      </c>
      <c r="AB179" s="26">
        <v>134.80000000000001</v>
      </c>
      <c r="AC179" s="26">
        <v>123</v>
      </c>
      <c r="AD179" s="26">
        <v>125.3</v>
      </c>
      <c r="AE179" s="26">
        <v>131.4</v>
      </c>
      <c r="AF179" s="26">
        <v>1719.6000000000001</v>
      </c>
      <c r="AG179" s="26">
        <v>406.8</v>
      </c>
      <c r="AH179" s="26">
        <v>392.4</v>
      </c>
      <c r="AI179" s="26">
        <v>251.4</v>
      </c>
      <c r="AJ179" s="26">
        <v>251</v>
      </c>
      <c r="AK179" s="26">
        <v>3418.9000000000005</v>
      </c>
    </row>
    <row r="180" spans="1:37" x14ac:dyDescent="0.25">
      <c r="A180" t="s">
        <v>35</v>
      </c>
      <c r="B180">
        <v>2017</v>
      </c>
      <c r="C180" t="s">
        <v>40</v>
      </c>
      <c r="D180" s="25">
        <v>42887</v>
      </c>
      <c r="E180" s="26">
        <v>133.30000000000001</v>
      </c>
      <c r="F180" s="26">
        <v>145.5</v>
      </c>
      <c r="G180" s="26">
        <v>128.1</v>
      </c>
      <c r="H180" s="26">
        <v>138.1</v>
      </c>
      <c r="I180" s="26">
        <v>118.2</v>
      </c>
      <c r="J180" s="26">
        <v>139.19999999999999</v>
      </c>
      <c r="K180" s="26">
        <v>133.30000000000001</v>
      </c>
      <c r="L180" s="26">
        <v>136.19999999999999</v>
      </c>
      <c r="M180" s="26">
        <v>119.6</v>
      </c>
      <c r="N180" s="26">
        <v>135.30000000000001</v>
      </c>
      <c r="O180" s="26">
        <v>127.8</v>
      </c>
      <c r="P180" s="26">
        <v>144.9</v>
      </c>
      <c r="Q180" s="26">
        <v>135.19999999999999</v>
      </c>
      <c r="R180" s="26">
        <v>146.5</v>
      </c>
      <c r="S180" s="26">
        <v>138.5</v>
      </c>
      <c r="T180" s="26">
        <v>131.69999999999999</v>
      </c>
      <c r="U180" s="26">
        <v>137.5</v>
      </c>
      <c r="V180" s="26">
        <v>131.4</v>
      </c>
      <c r="W180" s="26">
        <v>128.80000000000001</v>
      </c>
      <c r="X180" s="26">
        <v>131.19999999999999</v>
      </c>
      <c r="Y180" s="26">
        <v>128.5</v>
      </c>
      <c r="Z180" s="26">
        <v>116.5</v>
      </c>
      <c r="AA180" s="26">
        <v>125.9</v>
      </c>
      <c r="AB180" s="26">
        <v>135.4</v>
      </c>
      <c r="AC180" s="26">
        <v>123.4</v>
      </c>
      <c r="AD180" s="26">
        <v>125.5</v>
      </c>
      <c r="AE180" s="26">
        <v>132</v>
      </c>
      <c r="AF180" s="26">
        <v>1734.7</v>
      </c>
      <c r="AG180" s="26">
        <v>407.7</v>
      </c>
      <c r="AH180" s="26">
        <v>391.40000000000003</v>
      </c>
      <c r="AI180" s="26">
        <v>251.9</v>
      </c>
      <c r="AJ180" s="26">
        <v>251.4</v>
      </c>
      <c r="AK180" s="26">
        <v>3435.5</v>
      </c>
    </row>
    <row r="181" spans="1:37" x14ac:dyDescent="0.25">
      <c r="A181" t="s">
        <v>35</v>
      </c>
      <c r="B181">
        <v>2017</v>
      </c>
      <c r="C181" t="s">
        <v>41</v>
      </c>
      <c r="D181" s="25">
        <v>42917</v>
      </c>
      <c r="E181" s="26">
        <v>133.6</v>
      </c>
      <c r="F181" s="26">
        <v>145.69999999999999</v>
      </c>
      <c r="G181" s="26">
        <v>129.6</v>
      </c>
      <c r="H181" s="26">
        <v>138.5</v>
      </c>
      <c r="I181" s="26">
        <v>118.1</v>
      </c>
      <c r="J181" s="26">
        <v>141.80000000000001</v>
      </c>
      <c r="K181" s="26">
        <v>159.5</v>
      </c>
      <c r="L181" s="26">
        <v>133.6</v>
      </c>
      <c r="M181" s="26">
        <v>120.5</v>
      </c>
      <c r="N181" s="26">
        <v>135.19999999999999</v>
      </c>
      <c r="O181" s="26">
        <v>128.5</v>
      </c>
      <c r="P181" s="26">
        <v>145.80000000000001</v>
      </c>
      <c r="Q181" s="26">
        <v>139</v>
      </c>
      <c r="R181" s="26">
        <v>148.19999999999999</v>
      </c>
      <c r="S181" s="26">
        <v>139.30000000000001</v>
      </c>
      <c r="T181" s="26">
        <v>132.1</v>
      </c>
      <c r="U181" s="26">
        <v>138.30000000000001</v>
      </c>
      <c r="V181" s="26">
        <v>132.6</v>
      </c>
      <c r="W181" s="26">
        <v>129.4</v>
      </c>
      <c r="X181" s="26">
        <v>131.9</v>
      </c>
      <c r="Y181" s="26">
        <v>129.4</v>
      </c>
      <c r="Z181" s="26">
        <v>116</v>
      </c>
      <c r="AA181" s="26">
        <v>126.6</v>
      </c>
      <c r="AB181" s="26">
        <v>136.80000000000001</v>
      </c>
      <c r="AC181" s="26">
        <v>123.6</v>
      </c>
      <c r="AD181" s="26">
        <v>125.9</v>
      </c>
      <c r="AE181" s="26">
        <v>134.19999999999999</v>
      </c>
      <c r="AF181" s="26">
        <v>1769.3999999999999</v>
      </c>
      <c r="AG181" s="26">
        <v>409.7</v>
      </c>
      <c r="AH181" s="26">
        <v>393.9</v>
      </c>
      <c r="AI181" s="26">
        <v>253</v>
      </c>
      <c r="AJ181" s="26">
        <v>252.5</v>
      </c>
      <c r="AK181" s="26">
        <v>3479.4999999999995</v>
      </c>
    </row>
    <row r="182" spans="1:37" x14ac:dyDescent="0.25">
      <c r="A182" t="s">
        <v>35</v>
      </c>
      <c r="B182">
        <v>2017</v>
      </c>
      <c r="C182" t="s">
        <v>42</v>
      </c>
      <c r="D182" s="25">
        <v>42948</v>
      </c>
      <c r="E182" s="26">
        <v>134.30000000000001</v>
      </c>
      <c r="F182" s="26">
        <v>143.4</v>
      </c>
      <c r="G182" s="26">
        <v>129.30000000000001</v>
      </c>
      <c r="H182" s="26">
        <v>139</v>
      </c>
      <c r="I182" s="26">
        <v>118.1</v>
      </c>
      <c r="J182" s="26">
        <v>145.5</v>
      </c>
      <c r="K182" s="26">
        <v>168.6</v>
      </c>
      <c r="L182" s="26">
        <v>132.69999999999999</v>
      </c>
      <c r="M182" s="26">
        <v>121.2</v>
      </c>
      <c r="N182" s="26">
        <v>135.6</v>
      </c>
      <c r="O182" s="26">
        <v>128.69999999999999</v>
      </c>
      <c r="P182" s="26">
        <v>146.80000000000001</v>
      </c>
      <c r="Q182" s="26">
        <v>140.6</v>
      </c>
      <c r="R182" s="26">
        <v>149.80000000000001</v>
      </c>
      <c r="S182" s="26">
        <v>140.30000000000001</v>
      </c>
      <c r="T182" s="26">
        <v>133</v>
      </c>
      <c r="U182" s="26">
        <v>139.30000000000001</v>
      </c>
      <c r="V182" s="26">
        <v>134.4</v>
      </c>
      <c r="W182" s="26">
        <v>129.80000000000001</v>
      </c>
      <c r="X182" s="26">
        <v>132.80000000000001</v>
      </c>
      <c r="Y182" s="26">
        <v>130.19999999999999</v>
      </c>
      <c r="Z182" s="26">
        <v>117.3</v>
      </c>
      <c r="AA182" s="26">
        <v>127.3</v>
      </c>
      <c r="AB182" s="26">
        <v>137.6</v>
      </c>
      <c r="AC182" s="26">
        <v>124.5</v>
      </c>
      <c r="AD182" s="26">
        <v>126.8</v>
      </c>
      <c r="AE182" s="26">
        <v>135.4</v>
      </c>
      <c r="AF182" s="26">
        <v>1783.8</v>
      </c>
      <c r="AG182" s="26">
        <v>412.6</v>
      </c>
      <c r="AH182" s="26">
        <v>397.00000000000006</v>
      </c>
      <c r="AI182" s="26">
        <v>254.7</v>
      </c>
      <c r="AJ182" s="26">
        <v>254.1</v>
      </c>
      <c r="AK182" s="26">
        <v>3506.8999999999996</v>
      </c>
    </row>
    <row r="183" spans="1:37" x14ac:dyDescent="0.25">
      <c r="A183" t="s">
        <v>35</v>
      </c>
      <c r="B183">
        <v>2017</v>
      </c>
      <c r="C183" t="s">
        <v>43</v>
      </c>
      <c r="D183" s="25">
        <v>42979</v>
      </c>
      <c r="E183" s="26">
        <v>134.69999999999999</v>
      </c>
      <c r="F183" s="26">
        <v>142.4</v>
      </c>
      <c r="G183" s="26">
        <v>130.19999999999999</v>
      </c>
      <c r="H183" s="26">
        <v>139.6</v>
      </c>
      <c r="I183" s="26">
        <v>118.4</v>
      </c>
      <c r="J183" s="26">
        <v>143</v>
      </c>
      <c r="K183" s="26">
        <v>156.6</v>
      </c>
      <c r="L183" s="26">
        <v>132.9</v>
      </c>
      <c r="M183" s="26">
        <v>121.5</v>
      </c>
      <c r="N183" s="26">
        <v>135.6</v>
      </c>
      <c r="O183" s="26">
        <v>128.80000000000001</v>
      </c>
      <c r="P183" s="26">
        <v>147.30000000000001</v>
      </c>
      <c r="Q183" s="26">
        <v>139</v>
      </c>
      <c r="R183" s="26">
        <v>150.80000000000001</v>
      </c>
      <c r="S183" s="26">
        <v>141.1</v>
      </c>
      <c r="T183" s="26">
        <v>133.4</v>
      </c>
      <c r="U183" s="26">
        <v>140</v>
      </c>
      <c r="V183" s="26">
        <v>135.69999999999999</v>
      </c>
      <c r="W183" s="26">
        <v>131</v>
      </c>
      <c r="X183" s="26">
        <v>133.30000000000001</v>
      </c>
      <c r="Y183" s="26">
        <v>130.6</v>
      </c>
      <c r="Z183" s="26">
        <v>118.3</v>
      </c>
      <c r="AA183" s="26">
        <v>127.9</v>
      </c>
      <c r="AB183" s="26">
        <v>137.4</v>
      </c>
      <c r="AC183" s="26">
        <v>125.7</v>
      </c>
      <c r="AD183" s="26">
        <v>127.5</v>
      </c>
      <c r="AE183" s="26">
        <v>135.19999999999999</v>
      </c>
      <c r="AF183" s="26">
        <v>1769.9999999999998</v>
      </c>
      <c r="AG183" s="26">
        <v>414.5</v>
      </c>
      <c r="AH183" s="26">
        <v>400</v>
      </c>
      <c r="AI183" s="26">
        <v>256.3</v>
      </c>
      <c r="AJ183" s="26">
        <v>255.4</v>
      </c>
      <c r="AK183" s="26">
        <v>3502.7000000000003</v>
      </c>
    </row>
    <row r="184" spans="1:37" x14ac:dyDescent="0.25">
      <c r="A184" t="s">
        <v>35</v>
      </c>
      <c r="B184">
        <v>2017</v>
      </c>
      <c r="C184" t="s">
        <v>44</v>
      </c>
      <c r="D184" s="25">
        <v>43009</v>
      </c>
      <c r="E184" s="26">
        <v>135.30000000000001</v>
      </c>
      <c r="F184" s="26">
        <v>142.19999999999999</v>
      </c>
      <c r="G184" s="26">
        <v>131.19999999999999</v>
      </c>
      <c r="H184" s="26">
        <v>140.6</v>
      </c>
      <c r="I184" s="26">
        <v>119</v>
      </c>
      <c r="J184" s="26">
        <v>141.5</v>
      </c>
      <c r="K184" s="26">
        <v>162.6</v>
      </c>
      <c r="L184" s="26">
        <v>132.30000000000001</v>
      </c>
      <c r="M184" s="26">
        <v>121.8</v>
      </c>
      <c r="N184" s="26">
        <v>136.30000000000001</v>
      </c>
      <c r="O184" s="26">
        <v>128.69999999999999</v>
      </c>
      <c r="P184" s="26">
        <v>148.1</v>
      </c>
      <c r="Q184" s="26">
        <v>140.1</v>
      </c>
      <c r="R184" s="26">
        <v>151.6</v>
      </c>
      <c r="S184" s="26">
        <v>142</v>
      </c>
      <c r="T184" s="26">
        <v>134.1</v>
      </c>
      <c r="U184" s="26">
        <v>140.80000000000001</v>
      </c>
      <c r="V184" s="26">
        <v>137.30000000000001</v>
      </c>
      <c r="W184" s="26">
        <v>132.19999999999999</v>
      </c>
      <c r="X184" s="26">
        <v>133.6</v>
      </c>
      <c r="Y184" s="26">
        <v>131.30000000000001</v>
      </c>
      <c r="Z184" s="26">
        <v>117.8</v>
      </c>
      <c r="AA184" s="26">
        <v>128.4</v>
      </c>
      <c r="AB184" s="26">
        <v>137.9</v>
      </c>
      <c r="AC184" s="26">
        <v>126.2</v>
      </c>
      <c r="AD184" s="26">
        <v>127.7</v>
      </c>
      <c r="AE184" s="26">
        <v>136.1</v>
      </c>
      <c r="AF184" s="26">
        <v>1779.6999999999998</v>
      </c>
      <c r="AG184" s="26">
        <v>416.90000000000003</v>
      </c>
      <c r="AH184" s="26">
        <v>403.1</v>
      </c>
      <c r="AI184" s="26">
        <v>257.5</v>
      </c>
      <c r="AJ184" s="26">
        <v>256.10000000000002</v>
      </c>
      <c r="AK184" s="26">
        <v>3520.6</v>
      </c>
    </row>
    <row r="185" spans="1:37" x14ac:dyDescent="0.25">
      <c r="A185" t="s">
        <v>35</v>
      </c>
      <c r="B185">
        <v>2017</v>
      </c>
      <c r="C185" t="s">
        <v>46</v>
      </c>
      <c r="D185" s="25">
        <v>43040</v>
      </c>
      <c r="E185" s="26">
        <v>135.69999999999999</v>
      </c>
      <c r="F185" s="26">
        <v>142.4</v>
      </c>
      <c r="G185" s="26">
        <v>142.9</v>
      </c>
      <c r="H185" s="26">
        <v>140.80000000000001</v>
      </c>
      <c r="I185" s="26">
        <v>119.2</v>
      </c>
      <c r="J185" s="26">
        <v>142.19999999999999</v>
      </c>
      <c r="K185" s="26">
        <v>173.8</v>
      </c>
      <c r="L185" s="26">
        <v>131.19999999999999</v>
      </c>
      <c r="M185" s="26">
        <v>123</v>
      </c>
      <c r="N185" s="26">
        <v>136.80000000000001</v>
      </c>
      <c r="O185" s="26">
        <v>129.19999999999999</v>
      </c>
      <c r="P185" s="26">
        <v>148.9</v>
      </c>
      <c r="Q185" s="26">
        <v>142.1</v>
      </c>
      <c r="R185" s="26">
        <v>153.19999999999999</v>
      </c>
      <c r="S185" s="26">
        <v>143</v>
      </c>
      <c r="T185" s="26">
        <v>134.80000000000001</v>
      </c>
      <c r="U185" s="26">
        <v>141.80000000000001</v>
      </c>
      <c r="V185" s="26">
        <v>138.6</v>
      </c>
      <c r="W185" s="26">
        <v>135.30000000000001</v>
      </c>
      <c r="X185" s="26">
        <v>134.4</v>
      </c>
      <c r="Y185" s="26">
        <v>132.6</v>
      </c>
      <c r="Z185" s="26">
        <v>118.3</v>
      </c>
      <c r="AA185" s="26">
        <v>128.9</v>
      </c>
      <c r="AB185" s="26">
        <v>138.6</v>
      </c>
      <c r="AC185" s="26">
        <v>126.8</v>
      </c>
      <c r="AD185" s="26">
        <v>128.4</v>
      </c>
      <c r="AE185" s="26">
        <v>137.6</v>
      </c>
      <c r="AF185" s="26">
        <v>1808.2</v>
      </c>
      <c r="AG185" s="26">
        <v>419.6</v>
      </c>
      <c r="AH185" s="26">
        <v>408.29999999999995</v>
      </c>
      <c r="AI185" s="26">
        <v>259.39999999999998</v>
      </c>
      <c r="AJ185" s="26">
        <v>257.3</v>
      </c>
      <c r="AK185" s="26">
        <v>3562.9</v>
      </c>
    </row>
    <row r="186" spans="1:37" x14ac:dyDescent="0.25">
      <c r="A186" t="s">
        <v>35</v>
      </c>
      <c r="B186">
        <v>2017</v>
      </c>
      <c r="C186" t="s">
        <v>47</v>
      </c>
      <c r="D186" s="25">
        <v>43070</v>
      </c>
      <c r="E186" s="26">
        <v>135.80000000000001</v>
      </c>
      <c r="F186" s="26">
        <v>143.30000000000001</v>
      </c>
      <c r="G186" s="26">
        <v>145.19999999999999</v>
      </c>
      <c r="H186" s="26">
        <v>141</v>
      </c>
      <c r="I186" s="26">
        <v>120.5</v>
      </c>
      <c r="J186" s="26">
        <v>141.5</v>
      </c>
      <c r="K186" s="26">
        <v>161.69999999999999</v>
      </c>
      <c r="L186" s="26">
        <v>129.1</v>
      </c>
      <c r="M186" s="26">
        <v>121.5</v>
      </c>
      <c r="N186" s="26">
        <v>137.1</v>
      </c>
      <c r="O186" s="26">
        <v>128.80000000000001</v>
      </c>
      <c r="P186" s="26">
        <v>149</v>
      </c>
      <c r="Q186" s="26">
        <v>140.5</v>
      </c>
      <c r="R186" s="26">
        <v>154.19999999999999</v>
      </c>
      <c r="S186" s="26">
        <v>143.1</v>
      </c>
      <c r="T186" s="26">
        <v>135.1</v>
      </c>
      <c r="U186" s="26">
        <v>142</v>
      </c>
      <c r="V186" s="26">
        <v>139.1</v>
      </c>
      <c r="W186" s="26">
        <v>136.6</v>
      </c>
      <c r="X186" s="26">
        <v>134.69999999999999</v>
      </c>
      <c r="Y186" s="26">
        <v>133.1</v>
      </c>
      <c r="Z186" s="26">
        <v>118.5</v>
      </c>
      <c r="AA186" s="26">
        <v>129</v>
      </c>
      <c r="AB186" s="26">
        <v>138.5</v>
      </c>
      <c r="AC186" s="26">
        <v>126.5</v>
      </c>
      <c r="AD186" s="26">
        <v>128.6</v>
      </c>
      <c r="AE186" s="26">
        <v>137.19999999999999</v>
      </c>
      <c r="AF186" s="26">
        <v>1794.9999999999998</v>
      </c>
      <c r="AG186" s="26">
        <v>420.2</v>
      </c>
      <c r="AH186" s="26">
        <v>410.4</v>
      </c>
      <c r="AI186" s="26">
        <v>259.60000000000002</v>
      </c>
      <c r="AJ186" s="26">
        <v>257.60000000000002</v>
      </c>
      <c r="AK186" s="26">
        <v>3553.9999999999995</v>
      </c>
    </row>
    <row r="187" spans="1:37" x14ac:dyDescent="0.25">
      <c r="A187" t="s">
        <v>35</v>
      </c>
      <c r="B187">
        <v>2018</v>
      </c>
      <c r="C187" t="s">
        <v>32</v>
      </c>
      <c r="D187" s="25">
        <v>43101</v>
      </c>
      <c r="E187" s="26">
        <v>136</v>
      </c>
      <c r="F187" s="26">
        <v>144.19999999999999</v>
      </c>
      <c r="G187" s="26">
        <v>143.69999999999999</v>
      </c>
      <c r="H187" s="26">
        <v>141.1</v>
      </c>
      <c r="I187" s="26">
        <v>120.7</v>
      </c>
      <c r="J187" s="26">
        <v>141.30000000000001</v>
      </c>
      <c r="K187" s="26">
        <v>151.6</v>
      </c>
      <c r="L187" s="26">
        <v>127.3</v>
      </c>
      <c r="M187" s="26">
        <v>118.8</v>
      </c>
      <c r="N187" s="26">
        <v>137.5</v>
      </c>
      <c r="O187" s="26">
        <v>129</v>
      </c>
      <c r="P187" s="26">
        <v>149.5</v>
      </c>
      <c r="Q187" s="26">
        <v>139.19999999999999</v>
      </c>
      <c r="R187" s="26">
        <v>154.69999999999999</v>
      </c>
      <c r="S187" s="26">
        <v>143.5</v>
      </c>
      <c r="T187" s="26">
        <v>135.5</v>
      </c>
      <c r="U187" s="26">
        <v>142.30000000000001</v>
      </c>
      <c r="V187" s="26">
        <v>140.4</v>
      </c>
      <c r="W187" s="26">
        <v>136.6</v>
      </c>
      <c r="X187" s="26">
        <v>134.9</v>
      </c>
      <c r="Y187" s="26">
        <v>133.30000000000001</v>
      </c>
      <c r="Z187" s="26">
        <v>119.3</v>
      </c>
      <c r="AA187" s="26">
        <v>129.69999999999999</v>
      </c>
      <c r="AB187" s="26">
        <v>139</v>
      </c>
      <c r="AC187" s="26">
        <v>127.3</v>
      </c>
      <c r="AD187" s="26">
        <v>129.1</v>
      </c>
      <c r="AE187" s="26">
        <v>136.9</v>
      </c>
      <c r="AF187" s="26">
        <v>1779.9</v>
      </c>
      <c r="AG187" s="26">
        <v>421.3</v>
      </c>
      <c r="AH187" s="26">
        <v>411.9</v>
      </c>
      <c r="AI187" s="26">
        <v>260.60000000000002</v>
      </c>
      <c r="AJ187" s="26">
        <v>258.79999999999995</v>
      </c>
      <c r="AK187" s="26">
        <v>3545.5</v>
      </c>
    </row>
    <row r="188" spans="1:37" x14ac:dyDescent="0.25">
      <c r="A188" t="s">
        <v>35</v>
      </c>
      <c r="B188">
        <v>2018</v>
      </c>
      <c r="C188" t="s">
        <v>36</v>
      </c>
      <c r="D188" s="25">
        <v>43132</v>
      </c>
      <c r="E188" s="26">
        <v>135.9</v>
      </c>
      <c r="F188" s="26">
        <v>143.5</v>
      </c>
      <c r="G188" s="26">
        <v>140.30000000000001</v>
      </c>
      <c r="H188" s="26">
        <v>140.9</v>
      </c>
      <c r="I188" s="26">
        <v>120.4</v>
      </c>
      <c r="J188" s="26">
        <v>142.9</v>
      </c>
      <c r="K188" s="26">
        <v>140.5</v>
      </c>
      <c r="L188" s="26">
        <v>125.8</v>
      </c>
      <c r="M188" s="26">
        <v>117.1</v>
      </c>
      <c r="N188" s="26">
        <v>137.30000000000001</v>
      </c>
      <c r="O188" s="26">
        <v>128.6</v>
      </c>
      <c r="P188" s="26">
        <v>149.6</v>
      </c>
      <c r="Q188" s="26">
        <v>137.6</v>
      </c>
      <c r="R188" s="26">
        <v>154.9</v>
      </c>
      <c r="S188" s="26">
        <v>143.80000000000001</v>
      </c>
      <c r="T188" s="26">
        <v>135.6</v>
      </c>
      <c r="U188" s="26">
        <v>142.6</v>
      </c>
      <c r="V188" s="26">
        <v>141.30000000000001</v>
      </c>
      <c r="W188" s="26">
        <v>136.69999999999999</v>
      </c>
      <c r="X188" s="26">
        <v>135.19999999999999</v>
      </c>
      <c r="Y188" s="26">
        <v>133.80000000000001</v>
      </c>
      <c r="Z188" s="26">
        <v>120.2</v>
      </c>
      <c r="AA188" s="26">
        <v>129.9</v>
      </c>
      <c r="AB188" s="26">
        <v>139</v>
      </c>
      <c r="AC188" s="26">
        <v>127.7</v>
      </c>
      <c r="AD188" s="26">
        <v>129.6</v>
      </c>
      <c r="AE188" s="26">
        <v>136.4</v>
      </c>
      <c r="AF188" s="26">
        <v>1760.3999999999996</v>
      </c>
      <c r="AG188" s="26">
        <v>422</v>
      </c>
      <c r="AH188" s="26">
        <v>413.2</v>
      </c>
      <c r="AI188" s="26">
        <v>261.5</v>
      </c>
      <c r="AJ188" s="26">
        <v>259.5</v>
      </c>
      <c r="AK188" s="26">
        <v>3530.6999999999994</v>
      </c>
    </row>
    <row r="189" spans="1:37" x14ac:dyDescent="0.25">
      <c r="A189" t="s">
        <v>35</v>
      </c>
      <c r="B189">
        <v>2018</v>
      </c>
      <c r="C189" t="s">
        <v>37</v>
      </c>
      <c r="D189" s="25">
        <v>43160</v>
      </c>
      <c r="E189" s="26">
        <v>136.19999999999999</v>
      </c>
      <c r="F189" s="26">
        <v>143.6</v>
      </c>
      <c r="G189" s="26">
        <v>138.30000000000001</v>
      </c>
      <c r="H189" s="26">
        <v>141.19999999999999</v>
      </c>
      <c r="I189" s="26">
        <v>120.7</v>
      </c>
      <c r="J189" s="26">
        <v>146.19999999999999</v>
      </c>
      <c r="K189" s="26">
        <v>134.6</v>
      </c>
      <c r="L189" s="26">
        <v>124.6</v>
      </c>
      <c r="M189" s="26">
        <v>116.1</v>
      </c>
      <c r="N189" s="26">
        <v>137.80000000000001</v>
      </c>
      <c r="O189" s="26">
        <v>129.1</v>
      </c>
      <c r="P189" s="26">
        <v>150.4</v>
      </c>
      <c r="Q189" s="26">
        <v>137.19999999999999</v>
      </c>
      <c r="R189" s="26">
        <v>156.30000000000001</v>
      </c>
      <c r="S189" s="26">
        <v>144.30000000000001</v>
      </c>
      <c r="T189" s="26">
        <v>136.19999999999999</v>
      </c>
      <c r="U189" s="26">
        <v>143.1</v>
      </c>
      <c r="V189" s="26">
        <v>142</v>
      </c>
      <c r="W189" s="26">
        <v>136.5</v>
      </c>
      <c r="X189" s="26">
        <v>135.6</v>
      </c>
      <c r="Y189" s="26">
        <v>134.30000000000001</v>
      </c>
      <c r="Z189" s="26">
        <v>121</v>
      </c>
      <c r="AA189" s="26">
        <v>130.4</v>
      </c>
      <c r="AB189" s="26">
        <v>139.80000000000001</v>
      </c>
      <c r="AC189" s="26">
        <v>128.19999999999999</v>
      </c>
      <c r="AD189" s="26">
        <v>130.30000000000001</v>
      </c>
      <c r="AE189" s="26">
        <v>136.5</v>
      </c>
      <c r="AF189" s="26">
        <v>1756</v>
      </c>
      <c r="AG189" s="26">
        <v>423.6</v>
      </c>
      <c r="AH189" s="26">
        <v>414.1</v>
      </c>
      <c r="AI189" s="26">
        <v>262.5</v>
      </c>
      <c r="AJ189" s="26">
        <v>260.70000000000005</v>
      </c>
      <c r="AK189" s="26">
        <v>3534</v>
      </c>
    </row>
    <row r="190" spans="1:37" x14ac:dyDescent="0.25">
      <c r="A190" t="s">
        <v>35</v>
      </c>
      <c r="B190">
        <v>2018</v>
      </c>
      <c r="C190" t="s">
        <v>38</v>
      </c>
      <c r="D190" s="25">
        <v>43191</v>
      </c>
      <c r="E190" s="26">
        <v>136.4</v>
      </c>
      <c r="F190" s="26">
        <v>144.4</v>
      </c>
      <c r="G190" s="26">
        <v>133.9</v>
      </c>
      <c r="H190" s="26">
        <v>141.6</v>
      </c>
      <c r="I190" s="26">
        <v>121</v>
      </c>
      <c r="J190" s="26">
        <v>153.5</v>
      </c>
      <c r="K190" s="26">
        <v>132.6</v>
      </c>
      <c r="L190" s="26">
        <v>123.5</v>
      </c>
      <c r="M190" s="26">
        <v>113.7</v>
      </c>
      <c r="N190" s="26">
        <v>138.19999999999999</v>
      </c>
      <c r="O190" s="26">
        <v>129.6</v>
      </c>
      <c r="P190" s="26">
        <v>151.19999999999999</v>
      </c>
      <c r="Q190" s="26">
        <v>137.5</v>
      </c>
      <c r="R190" s="26">
        <v>156.9</v>
      </c>
      <c r="S190" s="26">
        <v>145.30000000000001</v>
      </c>
      <c r="T190" s="26">
        <v>136.69999999999999</v>
      </c>
      <c r="U190" s="26">
        <v>144</v>
      </c>
      <c r="V190" s="26">
        <v>142.9</v>
      </c>
      <c r="W190" s="26">
        <v>136.5</v>
      </c>
      <c r="X190" s="26">
        <v>136.6</v>
      </c>
      <c r="Y190" s="26">
        <v>135.19999999999999</v>
      </c>
      <c r="Z190" s="26">
        <v>121.9</v>
      </c>
      <c r="AA190" s="26">
        <v>131.30000000000001</v>
      </c>
      <c r="AB190" s="26">
        <v>141.4</v>
      </c>
      <c r="AC190" s="26">
        <v>129.19999999999999</v>
      </c>
      <c r="AD190" s="26">
        <v>131.30000000000001</v>
      </c>
      <c r="AE190" s="26">
        <v>137.1</v>
      </c>
      <c r="AF190" s="26">
        <v>1757.1000000000001</v>
      </c>
      <c r="AG190" s="26">
        <v>426</v>
      </c>
      <c r="AH190" s="26">
        <v>416</v>
      </c>
      <c r="AI190" s="26">
        <v>264.39999999999998</v>
      </c>
      <c r="AJ190" s="26">
        <v>262.60000000000002</v>
      </c>
      <c r="AK190" s="26">
        <v>3546.3</v>
      </c>
    </row>
    <row r="191" spans="1:37" x14ac:dyDescent="0.25">
      <c r="A191" t="s">
        <v>35</v>
      </c>
      <c r="B191">
        <v>2018</v>
      </c>
      <c r="C191" t="s">
        <v>39</v>
      </c>
      <c r="D191" s="25">
        <v>43221</v>
      </c>
      <c r="E191" s="26">
        <v>136.6</v>
      </c>
      <c r="F191" s="26">
        <v>146.6</v>
      </c>
      <c r="G191" s="26">
        <v>133.6</v>
      </c>
      <c r="H191" s="26">
        <v>142.1</v>
      </c>
      <c r="I191" s="26">
        <v>121</v>
      </c>
      <c r="J191" s="26">
        <v>154.6</v>
      </c>
      <c r="K191" s="26">
        <v>135.6</v>
      </c>
      <c r="L191" s="26">
        <v>122.3</v>
      </c>
      <c r="M191" s="26">
        <v>109.6</v>
      </c>
      <c r="N191" s="26">
        <v>138.1</v>
      </c>
      <c r="O191" s="26">
        <v>129.9</v>
      </c>
      <c r="P191" s="26">
        <v>151.69999999999999</v>
      </c>
      <c r="Q191" s="26">
        <v>138.1</v>
      </c>
      <c r="R191" s="26">
        <v>157.9</v>
      </c>
      <c r="S191" s="26">
        <v>146</v>
      </c>
      <c r="T191" s="26">
        <v>137.4</v>
      </c>
      <c r="U191" s="26">
        <v>144.69999999999999</v>
      </c>
      <c r="V191" s="26">
        <v>143.19999999999999</v>
      </c>
      <c r="W191" s="26">
        <v>136.9</v>
      </c>
      <c r="X191" s="26">
        <v>137.4</v>
      </c>
      <c r="Y191" s="26">
        <v>136</v>
      </c>
      <c r="Z191" s="26">
        <v>122.9</v>
      </c>
      <c r="AA191" s="26">
        <v>131.80000000000001</v>
      </c>
      <c r="AB191" s="26">
        <v>142.1</v>
      </c>
      <c r="AC191" s="26">
        <v>129.9</v>
      </c>
      <c r="AD191" s="26">
        <v>132.1</v>
      </c>
      <c r="AE191" s="26">
        <v>137.80000000000001</v>
      </c>
      <c r="AF191" s="26">
        <v>1759.8</v>
      </c>
      <c r="AG191" s="26">
        <v>428.09999999999997</v>
      </c>
      <c r="AH191" s="26">
        <v>417.5</v>
      </c>
      <c r="AI191" s="26">
        <v>265.89999999999998</v>
      </c>
      <c r="AJ191" s="26">
        <v>263.89999999999998</v>
      </c>
      <c r="AK191" s="26">
        <v>3558.1</v>
      </c>
    </row>
    <row r="192" spans="1:37" x14ac:dyDescent="0.25">
      <c r="A192" t="s">
        <v>35</v>
      </c>
      <c r="B192">
        <v>2018</v>
      </c>
      <c r="C192" t="s">
        <v>40</v>
      </c>
      <c r="D192" s="25">
        <v>43252</v>
      </c>
      <c r="E192" s="26">
        <v>136.9</v>
      </c>
      <c r="F192" s="26">
        <v>148.69999999999999</v>
      </c>
      <c r="G192" s="26">
        <v>135.6</v>
      </c>
      <c r="H192" s="26">
        <v>142.30000000000001</v>
      </c>
      <c r="I192" s="26">
        <v>121.3</v>
      </c>
      <c r="J192" s="26">
        <v>153.19999999999999</v>
      </c>
      <c r="K192" s="26">
        <v>143.69999999999999</v>
      </c>
      <c r="L192" s="26">
        <v>121.4</v>
      </c>
      <c r="M192" s="26">
        <v>111.1</v>
      </c>
      <c r="N192" s="26">
        <v>138.4</v>
      </c>
      <c r="O192" s="26">
        <v>130.30000000000001</v>
      </c>
      <c r="P192" s="26">
        <v>151.80000000000001</v>
      </c>
      <c r="Q192" s="26">
        <v>139.4</v>
      </c>
      <c r="R192" s="26">
        <v>158.30000000000001</v>
      </c>
      <c r="S192" s="26">
        <v>146.4</v>
      </c>
      <c r="T192" s="26">
        <v>138.1</v>
      </c>
      <c r="U192" s="26">
        <v>145.19999999999999</v>
      </c>
      <c r="V192" s="26">
        <v>142.5</v>
      </c>
      <c r="W192" s="26">
        <v>138.1</v>
      </c>
      <c r="X192" s="26">
        <v>137.9</v>
      </c>
      <c r="Y192" s="26">
        <v>136.19999999999999</v>
      </c>
      <c r="Z192" s="26">
        <v>123.7</v>
      </c>
      <c r="AA192" s="26">
        <v>132.6</v>
      </c>
      <c r="AB192" s="26">
        <v>142.80000000000001</v>
      </c>
      <c r="AC192" s="26">
        <v>130.1</v>
      </c>
      <c r="AD192" s="26">
        <v>132.6</v>
      </c>
      <c r="AE192" s="26">
        <v>138.5</v>
      </c>
      <c r="AF192" s="26">
        <v>1774.1000000000001</v>
      </c>
      <c r="AG192" s="26">
        <v>429.7</v>
      </c>
      <c r="AH192" s="26">
        <v>418.5</v>
      </c>
      <c r="AI192" s="26">
        <v>266.29999999999995</v>
      </c>
      <c r="AJ192" s="26">
        <v>265.2</v>
      </c>
      <c r="AK192" s="26">
        <v>3578.5999999999995</v>
      </c>
    </row>
    <row r="193" spans="1:37" x14ac:dyDescent="0.25">
      <c r="A193" t="s">
        <v>35</v>
      </c>
      <c r="B193">
        <v>2018</v>
      </c>
      <c r="C193" t="s">
        <v>41</v>
      </c>
      <c r="D193" s="25">
        <v>43282</v>
      </c>
      <c r="E193" s="26">
        <v>137.5</v>
      </c>
      <c r="F193" s="26">
        <v>149.1</v>
      </c>
      <c r="G193" s="26">
        <v>139.19999999999999</v>
      </c>
      <c r="H193" s="26">
        <v>142.5</v>
      </c>
      <c r="I193" s="26">
        <v>121.4</v>
      </c>
      <c r="J193" s="26">
        <v>151.6</v>
      </c>
      <c r="K193" s="26">
        <v>155.9</v>
      </c>
      <c r="L193" s="26">
        <v>121.7</v>
      </c>
      <c r="M193" s="26">
        <v>113.5</v>
      </c>
      <c r="N193" s="26">
        <v>138.9</v>
      </c>
      <c r="O193" s="26">
        <v>130.30000000000001</v>
      </c>
      <c r="P193" s="26">
        <v>152.30000000000001</v>
      </c>
      <c r="Q193" s="26">
        <v>141.4</v>
      </c>
      <c r="R193" s="26">
        <v>157.5</v>
      </c>
      <c r="S193" s="26">
        <v>146.80000000000001</v>
      </c>
      <c r="T193" s="26">
        <v>138.4</v>
      </c>
      <c r="U193" s="26">
        <v>145.6</v>
      </c>
      <c r="V193" s="26">
        <v>143.6</v>
      </c>
      <c r="W193" s="26">
        <v>139.69999999999999</v>
      </c>
      <c r="X193" s="26">
        <v>138.6</v>
      </c>
      <c r="Y193" s="26">
        <v>137</v>
      </c>
      <c r="Z193" s="26">
        <v>123.6</v>
      </c>
      <c r="AA193" s="26">
        <v>133.1</v>
      </c>
      <c r="AB193" s="26">
        <v>144.69999999999999</v>
      </c>
      <c r="AC193" s="26">
        <v>130.1</v>
      </c>
      <c r="AD193" s="26">
        <v>133.19999999999999</v>
      </c>
      <c r="AE193" s="26">
        <v>139.80000000000001</v>
      </c>
      <c r="AF193" s="26">
        <v>1795.3</v>
      </c>
      <c r="AG193" s="26">
        <v>430.80000000000007</v>
      </c>
      <c r="AH193" s="26">
        <v>421.9</v>
      </c>
      <c r="AI193" s="26">
        <v>267.10000000000002</v>
      </c>
      <c r="AJ193" s="26">
        <v>266.29999999999995</v>
      </c>
      <c r="AK193" s="26">
        <v>3607.2</v>
      </c>
    </row>
    <row r="194" spans="1:37" x14ac:dyDescent="0.25">
      <c r="A194" t="s">
        <v>35</v>
      </c>
      <c r="B194">
        <v>2018</v>
      </c>
      <c r="C194" t="s">
        <v>42</v>
      </c>
      <c r="D194" s="25">
        <v>43313</v>
      </c>
      <c r="E194" s="26">
        <v>138.30000000000001</v>
      </c>
      <c r="F194" s="26">
        <v>148</v>
      </c>
      <c r="G194" s="26">
        <v>138.1</v>
      </c>
      <c r="H194" s="26">
        <v>142.6</v>
      </c>
      <c r="I194" s="26">
        <v>122.2</v>
      </c>
      <c r="J194" s="26">
        <v>150.6</v>
      </c>
      <c r="K194" s="26">
        <v>156.6</v>
      </c>
      <c r="L194" s="26">
        <v>122.4</v>
      </c>
      <c r="M194" s="26">
        <v>114.7</v>
      </c>
      <c r="N194" s="26">
        <v>139.4</v>
      </c>
      <c r="O194" s="26">
        <v>131.1</v>
      </c>
      <c r="P194" s="26">
        <v>153</v>
      </c>
      <c r="Q194" s="26">
        <v>141.69999999999999</v>
      </c>
      <c r="R194" s="26">
        <v>157.9</v>
      </c>
      <c r="S194" s="26">
        <v>147.30000000000001</v>
      </c>
      <c r="T194" s="26">
        <v>138.80000000000001</v>
      </c>
      <c r="U194" s="26">
        <v>146.1</v>
      </c>
      <c r="V194" s="26">
        <v>144.6</v>
      </c>
      <c r="W194" s="26">
        <v>140.9</v>
      </c>
      <c r="X194" s="26">
        <v>139.4</v>
      </c>
      <c r="Y194" s="26">
        <v>137.69999999999999</v>
      </c>
      <c r="Z194" s="26">
        <v>124.3</v>
      </c>
      <c r="AA194" s="26">
        <v>133.6</v>
      </c>
      <c r="AB194" s="26">
        <v>146</v>
      </c>
      <c r="AC194" s="26">
        <v>130.1</v>
      </c>
      <c r="AD194" s="26">
        <v>133.9</v>
      </c>
      <c r="AE194" s="26">
        <v>140.4</v>
      </c>
      <c r="AF194" s="26">
        <v>1798.7000000000003</v>
      </c>
      <c r="AG194" s="26">
        <v>432.20000000000005</v>
      </c>
      <c r="AH194" s="26">
        <v>424.9</v>
      </c>
      <c r="AI194" s="26">
        <v>267.79999999999995</v>
      </c>
      <c r="AJ194" s="26">
        <v>267.5</v>
      </c>
      <c r="AK194" s="26">
        <v>3619.3</v>
      </c>
    </row>
    <row r="195" spans="1:37" x14ac:dyDescent="0.25">
      <c r="A195" t="s">
        <v>35</v>
      </c>
      <c r="B195">
        <v>2018</v>
      </c>
      <c r="C195" t="s">
        <v>43</v>
      </c>
      <c r="D195" s="25">
        <v>43344</v>
      </c>
      <c r="E195" s="26">
        <v>138.6</v>
      </c>
      <c r="F195" s="26">
        <v>145.80000000000001</v>
      </c>
      <c r="G195" s="26">
        <v>135.1</v>
      </c>
      <c r="H195" s="26">
        <v>142.9</v>
      </c>
      <c r="I195" s="26">
        <v>122.1</v>
      </c>
      <c r="J195" s="26">
        <v>145.4</v>
      </c>
      <c r="K195" s="26">
        <v>150</v>
      </c>
      <c r="L195" s="26">
        <v>121.4</v>
      </c>
      <c r="M195" s="26">
        <v>113.7</v>
      </c>
      <c r="N195" s="26">
        <v>139.5</v>
      </c>
      <c r="O195" s="26">
        <v>130.80000000000001</v>
      </c>
      <c r="P195" s="26">
        <v>153.80000000000001</v>
      </c>
      <c r="Q195" s="26">
        <v>140.4</v>
      </c>
      <c r="R195" s="26">
        <v>159.19999999999999</v>
      </c>
      <c r="S195" s="26">
        <v>147.69999999999999</v>
      </c>
      <c r="T195" s="26">
        <v>139.1</v>
      </c>
      <c r="U195" s="26">
        <v>146.5</v>
      </c>
      <c r="V195" s="26">
        <v>145.30000000000001</v>
      </c>
      <c r="W195" s="26">
        <v>142.30000000000001</v>
      </c>
      <c r="X195" s="26">
        <v>139.69999999999999</v>
      </c>
      <c r="Y195" s="26">
        <v>138.4</v>
      </c>
      <c r="Z195" s="26">
        <v>126</v>
      </c>
      <c r="AA195" s="26">
        <v>134.5</v>
      </c>
      <c r="AB195" s="26">
        <v>146.19999999999999</v>
      </c>
      <c r="AC195" s="26">
        <v>130.9</v>
      </c>
      <c r="AD195" s="26">
        <v>134.69999999999999</v>
      </c>
      <c r="AE195" s="26">
        <v>140.19999999999999</v>
      </c>
      <c r="AF195" s="26">
        <v>1779.5</v>
      </c>
      <c r="AG195" s="26">
        <v>433.29999999999995</v>
      </c>
      <c r="AH195" s="26">
        <v>427.3</v>
      </c>
      <c r="AI195" s="26">
        <v>269.3</v>
      </c>
      <c r="AJ195" s="26">
        <v>269.2</v>
      </c>
      <c r="AK195" s="26">
        <v>3610</v>
      </c>
    </row>
    <row r="196" spans="1:37" x14ac:dyDescent="0.25">
      <c r="A196" t="s">
        <v>35</v>
      </c>
      <c r="B196">
        <v>2018</v>
      </c>
      <c r="C196" t="s">
        <v>44</v>
      </c>
      <c r="D196" s="25">
        <v>43374</v>
      </c>
      <c r="E196" s="26">
        <v>137.4</v>
      </c>
      <c r="F196" s="26">
        <v>149.5</v>
      </c>
      <c r="G196" s="26">
        <v>137.30000000000001</v>
      </c>
      <c r="H196" s="26">
        <v>141.9</v>
      </c>
      <c r="I196" s="26">
        <v>121.1</v>
      </c>
      <c r="J196" s="26">
        <v>142.5</v>
      </c>
      <c r="K196" s="26">
        <v>146.69999999999999</v>
      </c>
      <c r="L196" s="26">
        <v>119.1</v>
      </c>
      <c r="M196" s="26">
        <v>111.9</v>
      </c>
      <c r="N196" s="26">
        <v>141</v>
      </c>
      <c r="O196" s="26">
        <v>133.6</v>
      </c>
      <c r="P196" s="26">
        <v>154.5</v>
      </c>
      <c r="Q196" s="26">
        <v>139.69999999999999</v>
      </c>
      <c r="R196" s="26">
        <v>162.6</v>
      </c>
      <c r="S196" s="26">
        <v>148</v>
      </c>
      <c r="T196" s="26">
        <v>139.19999999999999</v>
      </c>
      <c r="U196" s="26">
        <v>146.80000000000001</v>
      </c>
      <c r="V196" s="26">
        <v>146.9</v>
      </c>
      <c r="W196" s="26">
        <v>145.30000000000001</v>
      </c>
      <c r="X196" s="26">
        <v>142.19999999999999</v>
      </c>
      <c r="Y196" s="26">
        <v>142.1</v>
      </c>
      <c r="Z196" s="26">
        <v>125.5</v>
      </c>
      <c r="AA196" s="26">
        <v>136.5</v>
      </c>
      <c r="AB196" s="26">
        <v>147.80000000000001</v>
      </c>
      <c r="AC196" s="26">
        <v>132</v>
      </c>
      <c r="AD196" s="26">
        <v>136.30000000000001</v>
      </c>
      <c r="AE196" s="26">
        <v>140.80000000000001</v>
      </c>
      <c r="AF196" s="26">
        <v>1776.2</v>
      </c>
      <c r="AG196" s="26">
        <v>434</v>
      </c>
      <c r="AH196" s="26">
        <v>434.40000000000003</v>
      </c>
      <c r="AI196" s="26">
        <v>274.10000000000002</v>
      </c>
      <c r="AJ196" s="26">
        <v>272.8</v>
      </c>
      <c r="AK196" s="26">
        <v>3627.4</v>
      </c>
    </row>
    <row r="197" spans="1:37" x14ac:dyDescent="0.25">
      <c r="A197" t="s">
        <v>35</v>
      </c>
      <c r="B197">
        <v>2018</v>
      </c>
      <c r="C197" t="s">
        <v>46</v>
      </c>
      <c r="D197" s="25">
        <v>43405</v>
      </c>
      <c r="E197" s="26">
        <v>137.4</v>
      </c>
      <c r="F197" s="26">
        <v>149.19999999999999</v>
      </c>
      <c r="G197" s="26">
        <v>137.1</v>
      </c>
      <c r="H197" s="26">
        <v>141.80000000000001</v>
      </c>
      <c r="I197" s="26">
        <v>121.1</v>
      </c>
      <c r="J197" s="26">
        <v>142.80000000000001</v>
      </c>
      <c r="K197" s="26">
        <v>146.69999999999999</v>
      </c>
      <c r="L197" s="26">
        <v>119.1</v>
      </c>
      <c r="M197" s="26">
        <v>111.9</v>
      </c>
      <c r="N197" s="26">
        <v>140.9</v>
      </c>
      <c r="O197" s="26">
        <v>133.5</v>
      </c>
      <c r="P197" s="26">
        <v>154.5</v>
      </c>
      <c r="Q197" s="26">
        <v>139.69999999999999</v>
      </c>
      <c r="R197" s="26">
        <v>162.6</v>
      </c>
      <c r="S197" s="26">
        <v>148</v>
      </c>
      <c r="T197" s="26">
        <v>139.1</v>
      </c>
      <c r="U197" s="26">
        <v>146.69999999999999</v>
      </c>
      <c r="V197" s="26">
        <v>146.9</v>
      </c>
      <c r="W197" s="26">
        <v>145.1</v>
      </c>
      <c r="X197" s="26">
        <v>142.19999999999999</v>
      </c>
      <c r="Y197" s="26">
        <v>142.1</v>
      </c>
      <c r="Z197" s="26">
        <v>125.5</v>
      </c>
      <c r="AA197" s="26">
        <v>136.5</v>
      </c>
      <c r="AB197" s="26">
        <v>147.80000000000001</v>
      </c>
      <c r="AC197" s="26">
        <v>132</v>
      </c>
      <c r="AD197" s="26">
        <v>136.30000000000001</v>
      </c>
      <c r="AE197" s="26">
        <v>140.80000000000001</v>
      </c>
      <c r="AF197" s="26">
        <v>1775.7000000000003</v>
      </c>
      <c r="AG197" s="26">
        <v>433.8</v>
      </c>
      <c r="AH197" s="26">
        <v>434.2</v>
      </c>
      <c r="AI197" s="26">
        <v>274.10000000000002</v>
      </c>
      <c r="AJ197" s="26">
        <v>272.8</v>
      </c>
      <c r="AK197" s="26">
        <v>3626.5000000000005</v>
      </c>
    </row>
    <row r="198" spans="1:37" x14ac:dyDescent="0.25">
      <c r="A198" t="s">
        <v>35</v>
      </c>
      <c r="B198">
        <v>2018</v>
      </c>
      <c r="C198" t="s">
        <v>47</v>
      </c>
      <c r="D198" s="25">
        <v>43435</v>
      </c>
      <c r="E198" s="26">
        <v>137.5</v>
      </c>
      <c r="F198" s="26">
        <v>150.5</v>
      </c>
      <c r="G198" s="26">
        <v>138.80000000000001</v>
      </c>
      <c r="H198" s="26">
        <v>142.1</v>
      </c>
      <c r="I198" s="26">
        <v>122</v>
      </c>
      <c r="J198" s="26">
        <v>139.4</v>
      </c>
      <c r="K198" s="26">
        <v>135.19999999999999</v>
      </c>
      <c r="L198" s="26">
        <v>119.8</v>
      </c>
      <c r="M198" s="26">
        <v>110.3</v>
      </c>
      <c r="N198" s="26">
        <v>140.6</v>
      </c>
      <c r="O198" s="26">
        <v>133.80000000000001</v>
      </c>
      <c r="P198" s="26">
        <v>154.6</v>
      </c>
      <c r="Q198" s="26">
        <v>138.19999999999999</v>
      </c>
      <c r="R198" s="26">
        <v>163</v>
      </c>
      <c r="S198" s="26">
        <v>148.1</v>
      </c>
      <c r="T198" s="26">
        <v>139.4</v>
      </c>
      <c r="U198" s="26">
        <v>146.80000000000001</v>
      </c>
      <c r="V198" s="26">
        <v>146.5</v>
      </c>
      <c r="W198" s="26">
        <v>142.69999999999999</v>
      </c>
      <c r="X198" s="26">
        <v>143.19999999999999</v>
      </c>
      <c r="Y198" s="26">
        <v>144.9</v>
      </c>
      <c r="Z198" s="26">
        <v>123.6</v>
      </c>
      <c r="AA198" s="26">
        <v>136.80000000000001</v>
      </c>
      <c r="AB198" s="26">
        <v>150.1</v>
      </c>
      <c r="AC198" s="26">
        <v>132.19999999999999</v>
      </c>
      <c r="AD198" s="26">
        <v>136.80000000000001</v>
      </c>
      <c r="AE198" s="26">
        <v>140.1</v>
      </c>
      <c r="AF198" s="26">
        <v>1762.7999999999997</v>
      </c>
      <c r="AG198" s="26">
        <v>434.3</v>
      </c>
      <c r="AH198" s="26">
        <v>432.4</v>
      </c>
      <c r="AI198" s="26">
        <v>277.10000000000002</v>
      </c>
      <c r="AJ198" s="26">
        <v>273.60000000000002</v>
      </c>
      <c r="AK198" s="26">
        <v>3616.9</v>
      </c>
    </row>
    <row r="199" spans="1:37" x14ac:dyDescent="0.25">
      <c r="A199" t="s">
        <v>35</v>
      </c>
      <c r="B199">
        <v>2019</v>
      </c>
      <c r="C199" t="s">
        <v>32</v>
      </c>
      <c r="D199" s="25">
        <v>43466</v>
      </c>
      <c r="E199" s="26">
        <v>137.1</v>
      </c>
      <c r="F199" s="26">
        <v>151.4</v>
      </c>
      <c r="G199" s="26">
        <v>140.19999999999999</v>
      </c>
      <c r="H199" s="26">
        <v>142.1</v>
      </c>
      <c r="I199" s="26">
        <v>121.8</v>
      </c>
      <c r="J199" s="26">
        <v>135.4</v>
      </c>
      <c r="K199" s="26">
        <v>131.30000000000001</v>
      </c>
      <c r="L199" s="26">
        <v>120.3</v>
      </c>
      <c r="M199" s="26">
        <v>109.1</v>
      </c>
      <c r="N199" s="26">
        <v>139.4</v>
      </c>
      <c r="O199" s="26">
        <v>133.30000000000001</v>
      </c>
      <c r="P199" s="26">
        <v>154.6</v>
      </c>
      <c r="Q199" s="26">
        <v>137.4</v>
      </c>
      <c r="R199" s="26">
        <v>163.19999999999999</v>
      </c>
      <c r="S199" s="26">
        <v>147.6</v>
      </c>
      <c r="T199" s="26">
        <v>139</v>
      </c>
      <c r="U199" s="26">
        <v>146.4</v>
      </c>
      <c r="V199" s="26">
        <v>147.69999999999999</v>
      </c>
      <c r="W199" s="26">
        <v>139.5</v>
      </c>
      <c r="X199" s="26">
        <v>143.6</v>
      </c>
      <c r="Y199" s="26">
        <v>145.1</v>
      </c>
      <c r="Z199" s="26">
        <v>123.3</v>
      </c>
      <c r="AA199" s="26">
        <v>136.69999999999999</v>
      </c>
      <c r="AB199" s="26">
        <v>150.19999999999999</v>
      </c>
      <c r="AC199" s="26">
        <v>132.80000000000001</v>
      </c>
      <c r="AD199" s="26">
        <v>136.9</v>
      </c>
      <c r="AE199" s="26">
        <v>139.6</v>
      </c>
      <c r="AF199" s="26">
        <v>1753.3999999999999</v>
      </c>
      <c r="AG199" s="26">
        <v>433</v>
      </c>
      <c r="AH199" s="26">
        <v>430.79999999999995</v>
      </c>
      <c r="AI199" s="26">
        <v>277.89999999999998</v>
      </c>
      <c r="AJ199" s="26">
        <v>273.60000000000002</v>
      </c>
      <c r="AK199" s="26">
        <v>3605.3999999999996</v>
      </c>
    </row>
    <row r="200" spans="1:37" x14ac:dyDescent="0.25">
      <c r="A200" t="s">
        <v>35</v>
      </c>
      <c r="B200">
        <v>2019</v>
      </c>
      <c r="C200" t="s">
        <v>36</v>
      </c>
      <c r="D200" s="25">
        <v>43497</v>
      </c>
      <c r="E200" s="26">
        <v>137.6</v>
      </c>
      <c r="F200" s="26">
        <v>152</v>
      </c>
      <c r="G200" s="26">
        <v>141.5</v>
      </c>
      <c r="H200" s="26">
        <v>142.19999999999999</v>
      </c>
      <c r="I200" s="26">
        <v>122</v>
      </c>
      <c r="J200" s="26">
        <v>136.4</v>
      </c>
      <c r="K200" s="26">
        <v>129.69999999999999</v>
      </c>
      <c r="L200" s="26">
        <v>121</v>
      </c>
      <c r="M200" s="26">
        <v>109</v>
      </c>
      <c r="N200" s="26">
        <v>139.69999999999999</v>
      </c>
      <c r="O200" s="26">
        <v>133.6</v>
      </c>
      <c r="P200" s="26">
        <v>154.9</v>
      </c>
      <c r="Q200" s="26">
        <v>137.5</v>
      </c>
      <c r="R200" s="26">
        <v>163.4</v>
      </c>
      <c r="S200" s="26">
        <v>147.69999999999999</v>
      </c>
      <c r="T200" s="26">
        <v>139.69999999999999</v>
      </c>
      <c r="U200" s="26">
        <v>146.5</v>
      </c>
      <c r="V200" s="26">
        <v>148.5</v>
      </c>
      <c r="W200" s="26">
        <v>138.4</v>
      </c>
      <c r="X200" s="26">
        <v>143.69999999999999</v>
      </c>
      <c r="Y200" s="26">
        <v>145.6</v>
      </c>
      <c r="Z200" s="26">
        <v>123.9</v>
      </c>
      <c r="AA200" s="26">
        <v>137.1</v>
      </c>
      <c r="AB200" s="26">
        <v>150.30000000000001</v>
      </c>
      <c r="AC200" s="26">
        <v>134.1</v>
      </c>
      <c r="AD200" s="26">
        <v>137.4</v>
      </c>
      <c r="AE200" s="26">
        <v>139.9</v>
      </c>
      <c r="AF200" s="26">
        <v>1757.1</v>
      </c>
      <c r="AG200" s="26">
        <v>433.9</v>
      </c>
      <c r="AH200" s="26">
        <v>430.59999999999997</v>
      </c>
      <c r="AI200" s="26">
        <v>279.7</v>
      </c>
      <c r="AJ200" s="26">
        <v>274.5</v>
      </c>
      <c r="AK200" s="26">
        <v>3613.3999999999996</v>
      </c>
    </row>
    <row r="201" spans="1:37" x14ac:dyDescent="0.25">
      <c r="A201" t="s">
        <v>35</v>
      </c>
      <c r="B201">
        <v>2019</v>
      </c>
      <c r="C201" t="s">
        <v>37</v>
      </c>
      <c r="D201" s="25">
        <v>43525</v>
      </c>
      <c r="E201" s="26">
        <v>137.80000000000001</v>
      </c>
      <c r="F201" s="26">
        <v>153</v>
      </c>
      <c r="G201" s="26">
        <v>140.30000000000001</v>
      </c>
      <c r="H201" s="26">
        <v>142.30000000000001</v>
      </c>
      <c r="I201" s="26">
        <v>122</v>
      </c>
      <c r="J201" s="26">
        <v>137.6</v>
      </c>
      <c r="K201" s="26">
        <v>132.6</v>
      </c>
      <c r="L201" s="26">
        <v>121.8</v>
      </c>
      <c r="M201" s="26">
        <v>109</v>
      </c>
      <c r="N201" s="26">
        <v>139.5</v>
      </c>
      <c r="O201" s="26">
        <v>133.69999999999999</v>
      </c>
      <c r="P201" s="26">
        <v>155.19999999999999</v>
      </c>
      <c r="Q201" s="26">
        <v>138.1</v>
      </c>
      <c r="R201" s="26">
        <v>163.5</v>
      </c>
      <c r="S201" s="26">
        <v>147.9</v>
      </c>
      <c r="T201" s="26">
        <v>139.9</v>
      </c>
      <c r="U201" s="26">
        <v>146.69999999999999</v>
      </c>
      <c r="V201" s="26">
        <v>149</v>
      </c>
      <c r="W201" s="26">
        <v>139.69999999999999</v>
      </c>
      <c r="X201" s="26">
        <v>143.80000000000001</v>
      </c>
      <c r="Y201" s="26">
        <v>146.19999999999999</v>
      </c>
      <c r="Z201" s="26">
        <v>124.6</v>
      </c>
      <c r="AA201" s="26">
        <v>137.69999999999999</v>
      </c>
      <c r="AB201" s="26">
        <v>150.30000000000001</v>
      </c>
      <c r="AC201" s="26">
        <v>133.4</v>
      </c>
      <c r="AD201" s="26">
        <v>137.69999999999999</v>
      </c>
      <c r="AE201" s="26">
        <v>140.4</v>
      </c>
      <c r="AF201" s="26">
        <v>1762.9</v>
      </c>
      <c r="AG201" s="26">
        <v>434.5</v>
      </c>
      <c r="AH201" s="26">
        <v>432.5</v>
      </c>
      <c r="AI201" s="26">
        <v>279.60000000000002</v>
      </c>
      <c r="AJ201" s="26">
        <v>275.39999999999998</v>
      </c>
      <c r="AK201" s="26">
        <v>3623.3</v>
      </c>
    </row>
    <row r="202" spans="1:37" x14ac:dyDescent="0.25">
      <c r="A202" t="s">
        <v>35</v>
      </c>
      <c r="B202">
        <v>2019</v>
      </c>
      <c r="C202" t="s">
        <v>38</v>
      </c>
      <c r="D202" s="25">
        <v>43556</v>
      </c>
      <c r="E202" s="26">
        <f t="shared" ref="E202:AH202" si="4">AVERAGE(E199:E201)</f>
        <v>137.5</v>
      </c>
      <c r="F202" s="26">
        <f t="shared" si="4"/>
        <v>152.13333333333333</v>
      </c>
      <c r="G202" s="26">
        <f t="shared" si="4"/>
        <v>140.66666666666666</v>
      </c>
      <c r="H202" s="26">
        <f t="shared" si="4"/>
        <v>142.19999999999999</v>
      </c>
      <c r="I202" s="26">
        <f t="shared" si="4"/>
        <v>121.93333333333334</v>
      </c>
      <c r="J202" s="26">
        <f t="shared" si="4"/>
        <v>136.46666666666667</v>
      </c>
      <c r="K202" s="26">
        <f t="shared" si="4"/>
        <v>131.20000000000002</v>
      </c>
      <c r="L202" s="26">
        <f t="shared" si="4"/>
        <v>121.03333333333335</v>
      </c>
      <c r="M202" s="26">
        <f t="shared" si="4"/>
        <v>109.03333333333335</v>
      </c>
      <c r="N202" s="26">
        <f t="shared" si="4"/>
        <v>139.53333333333333</v>
      </c>
      <c r="O202" s="26">
        <f t="shared" si="4"/>
        <v>133.53333333333333</v>
      </c>
      <c r="P202" s="26">
        <f t="shared" si="4"/>
        <v>154.9</v>
      </c>
      <c r="Q202" s="26">
        <f t="shared" si="4"/>
        <v>137.66666666666666</v>
      </c>
      <c r="R202" s="26">
        <f t="shared" si="4"/>
        <v>163.36666666666667</v>
      </c>
      <c r="S202" s="26">
        <f t="shared" si="4"/>
        <v>147.73333333333332</v>
      </c>
      <c r="T202" s="26">
        <f t="shared" si="4"/>
        <v>139.53333333333333</v>
      </c>
      <c r="U202" s="26">
        <f t="shared" si="4"/>
        <v>146.53333333333333</v>
      </c>
      <c r="V202" s="26">
        <f t="shared" si="4"/>
        <v>148.4</v>
      </c>
      <c r="W202" s="26">
        <f t="shared" si="4"/>
        <v>139.19999999999999</v>
      </c>
      <c r="X202" s="26">
        <f t="shared" si="4"/>
        <v>143.69999999999999</v>
      </c>
      <c r="Y202" s="26">
        <f t="shared" si="4"/>
        <v>145.63333333333333</v>
      </c>
      <c r="Z202" s="26">
        <f t="shared" si="4"/>
        <v>123.93333333333332</v>
      </c>
      <c r="AA202" s="26">
        <f t="shared" si="4"/>
        <v>137.16666666666666</v>
      </c>
      <c r="AB202" s="26">
        <f t="shared" si="4"/>
        <v>150.26666666666668</v>
      </c>
      <c r="AC202" s="26">
        <f t="shared" si="4"/>
        <v>133.43333333333331</v>
      </c>
      <c r="AD202" s="26">
        <f t="shared" si="4"/>
        <v>137.33333333333334</v>
      </c>
      <c r="AE202" s="26">
        <f t="shared" si="4"/>
        <v>139.96666666666667</v>
      </c>
      <c r="AF202" s="26">
        <f t="shared" si="4"/>
        <v>1757.8</v>
      </c>
      <c r="AG202" s="26">
        <f t="shared" si="4"/>
        <v>433.8</v>
      </c>
      <c r="AH202" s="26">
        <f t="shared" si="4"/>
        <v>431.29999999999995</v>
      </c>
      <c r="AI202" s="26">
        <v>279.06666666666661</v>
      </c>
      <c r="AJ202" s="26">
        <v>274.5</v>
      </c>
      <c r="AK202" s="28">
        <v>3614.0333333333338</v>
      </c>
    </row>
    <row r="203" spans="1:37" x14ac:dyDescent="0.25">
      <c r="A203" t="s">
        <v>35</v>
      </c>
      <c r="B203">
        <v>2019</v>
      </c>
      <c r="C203" t="s">
        <v>39</v>
      </c>
      <c r="D203" s="25">
        <v>43586</v>
      </c>
      <c r="E203" s="26">
        <v>138.30000000000001</v>
      </c>
      <c r="F203" s="26">
        <v>158.5</v>
      </c>
      <c r="G203" s="26">
        <v>136</v>
      </c>
      <c r="H203" s="26">
        <v>142.5</v>
      </c>
      <c r="I203" s="26">
        <v>122</v>
      </c>
      <c r="J203" s="26">
        <v>146.5</v>
      </c>
      <c r="K203" s="26">
        <v>143</v>
      </c>
      <c r="L203" s="26">
        <v>124.9</v>
      </c>
      <c r="M203" s="26">
        <v>109.9</v>
      </c>
      <c r="N203" s="26">
        <v>139.9</v>
      </c>
      <c r="O203" s="26">
        <v>134</v>
      </c>
      <c r="P203" s="26">
        <v>155.5</v>
      </c>
      <c r="Q203" s="26">
        <v>140.9</v>
      </c>
      <c r="R203" s="26">
        <v>164.1</v>
      </c>
      <c r="S203" s="26">
        <v>148.4</v>
      </c>
      <c r="T203" s="26">
        <v>140.4</v>
      </c>
      <c r="U203" s="26">
        <v>147.30000000000001</v>
      </c>
      <c r="V203" s="26">
        <v>150.1</v>
      </c>
      <c r="W203" s="26">
        <v>140.30000000000001</v>
      </c>
      <c r="X203" s="26">
        <v>143.69999999999999</v>
      </c>
      <c r="Y203" s="26">
        <v>146.9</v>
      </c>
      <c r="Z203" s="26">
        <v>124.9</v>
      </c>
      <c r="AA203" s="26">
        <v>139.19999999999999</v>
      </c>
      <c r="AB203" s="26">
        <v>151.6</v>
      </c>
      <c r="AC203" s="26">
        <v>133.4</v>
      </c>
      <c r="AD203" s="26">
        <v>138.19999999999999</v>
      </c>
      <c r="AE203" s="26">
        <v>142</v>
      </c>
      <c r="AF203" s="26">
        <v>1791.9000000000003</v>
      </c>
      <c r="AG203" s="26">
        <v>436.1</v>
      </c>
      <c r="AH203" s="26">
        <v>434.09999999999997</v>
      </c>
      <c r="AI203" s="26">
        <v>280.3</v>
      </c>
      <c r="AJ203" s="26">
        <v>277.39999999999998</v>
      </c>
      <c r="AK203" s="26">
        <v>3660.4000000000005</v>
      </c>
    </row>
    <row r="204" spans="1:37" x14ac:dyDescent="0.25">
      <c r="A204" t="s">
        <v>35</v>
      </c>
      <c r="B204">
        <v>2019</v>
      </c>
      <c r="C204" t="s">
        <v>40</v>
      </c>
      <c r="D204" s="25">
        <v>43617</v>
      </c>
      <c r="E204" s="26">
        <v>138.69999999999999</v>
      </c>
      <c r="F204" s="26">
        <v>162.1</v>
      </c>
      <c r="G204" s="26">
        <v>137.80000000000001</v>
      </c>
      <c r="H204" s="26">
        <v>143.30000000000001</v>
      </c>
      <c r="I204" s="26">
        <v>122.2</v>
      </c>
      <c r="J204" s="26">
        <v>146.80000000000001</v>
      </c>
      <c r="K204" s="26">
        <v>150.5</v>
      </c>
      <c r="L204" s="26">
        <v>128.30000000000001</v>
      </c>
      <c r="M204" s="26">
        <v>111</v>
      </c>
      <c r="N204" s="26">
        <v>140.6</v>
      </c>
      <c r="O204" s="26">
        <v>134.19999999999999</v>
      </c>
      <c r="P204" s="26">
        <v>155.9</v>
      </c>
      <c r="Q204" s="26">
        <v>142.69999999999999</v>
      </c>
      <c r="R204" s="26">
        <v>164.9</v>
      </c>
      <c r="S204" s="26">
        <v>148.6</v>
      </c>
      <c r="T204" s="26">
        <v>140.4</v>
      </c>
      <c r="U204" s="26">
        <v>147.4</v>
      </c>
      <c r="V204" s="26">
        <v>149.4</v>
      </c>
      <c r="W204" s="26">
        <v>141.19999999999999</v>
      </c>
      <c r="X204" s="26">
        <v>143.80000000000001</v>
      </c>
      <c r="Y204" s="26">
        <v>147.4</v>
      </c>
      <c r="Z204" s="26">
        <v>124.6</v>
      </c>
      <c r="AA204" s="26">
        <v>139.6</v>
      </c>
      <c r="AB204" s="26">
        <v>152.5</v>
      </c>
      <c r="AC204" s="26">
        <v>134.30000000000001</v>
      </c>
      <c r="AD204" s="26">
        <v>138.6</v>
      </c>
      <c r="AE204" s="26">
        <v>142.9</v>
      </c>
      <c r="AF204" s="26">
        <v>1814.1000000000001</v>
      </c>
      <c r="AG204" s="26">
        <v>436.4</v>
      </c>
      <c r="AH204" s="26">
        <v>434.40000000000003</v>
      </c>
      <c r="AI204" s="26">
        <v>281.70000000000005</v>
      </c>
      <c r="AJ204" s="26">
        <v>278.2</v>
      </c>
      <c r="AK204" s="26">
        <v>3686.8</v>
      </c>
    </row>
    <row r="205" spans="1:37" x14ac:dyDescent="0.25">
      <c r="A205" t="s">
        <v>35</v>
      </c>
      <c r="B205">
        <v>2019</v>
      </c>
      <c r="C205" t="s">
        <v>41</v>
      </c>
      <c r="D205" s="25">
        <v>43647</v>
      </c>
      <c r="E205" s="26">
        <v>139.30000000000001</v>
      </c>
      <c r="F205" s="26">
        <v>162.69999999999999</v>
      </c>
      <c r="G205" s="26">
        <v>140</v>
      </c>
      <c r="H205" s="26">
        <v>144</v>
      </c>
      <c r="I205" s="26">
        <v>122.5</v>
      </c>
      <c r="J205" s="26">
        <v>150.30000000000001</v>
      </c>
      <c r="K205" s="26">
        <v>160.30000000000001</v>
      </c>
      <c r="L205" s="26">
        <v>130</v>
      </c>
      <c r="M205" s="26">
        <v>111.1</v>
      </c>
      <c r="N205" s="26">
        <v>141.69999999999999</v>
      </c>
      <c r="O205" s="26">
        <v>134.69999999999999</v>
      </c>
      <c r="P205" s="26">
        <v>156.19999999999999</v>
      </c>
      <c r="Q205" s="26">
        <v>144.69999999999999</v>
      </c>
      <c r="R205" s="26">
        <v>165.2</v>
      </c>
      <c r="S205" s="26">
        <v>148.9</v>
      </c>
      <c r="T205" s="26">
        <v>140.5</v>
      </c>
      <c r="U205" s="26">
        <v>147.6</v>
      </c>
      <c r="V205" s="26">
        <v>150.6</v>
      </c>
      <c r="W205" s="26">
        <v>139.30000000000001</v>
      </c>
      <c r="X205" s="26">
        <v>144.19999999999999</v>
      </c>
      <c r="Y205" s="26">
        <v>147.9</v>
      </c>
      <c r="Z205" s="26">
        <v>125.6</v>
      </c>
      <c r="AA205" s="26">
        <v>140.5</v>
      </c>
      <c r="AB205" s="26">
        <v>154</v>
      </c>
      <c r="AC205" s="26">
        <v>135.69999999999999</v>
      </c>
      <c r="AD205" s="26">
        <v>139.5</v>
      </c>
      <c r="AE205" s="26">
        <v>144.19999999999999</v>
      </c>
      <c r="AF205" s="26">
        <v>1837.5</v>
      </c>
      <c r="AG205" s="26">
        <v>437</v>
      </c>
      <c r="AH205" s="26">
        <v>434.09999999999997</v>
      </c>
      <c r="AI205" s="26">
        <v>283.60000000000002</v>
      </c>
      <c r="AJ205" s="26">
        <v>280</v>
      </c>
      <c r="AK205" s="26">
        <v>3717</v>
      </c>
    </row>
    <row r="206" spans="1:37" x14ac:dyDescent="0.25">
      <c r="A206" t="s">
        <v>35</v>
      </c>
      <c r="B206">
        <v>2019</v>
      </c>
      <c r="C206" t="s">
        <v>42</v>
      </c>
      <c r="D206" s="25">
        <v>43678</v>
      </c>
      <c r="E206" s="26">
        <v>140.1</v>
      </c>
      <c r="F206" s="26">
        <v>160.6</v>
      </c>
      <c r="G206" s="26">
        <v>138.5</v>
      </c>
      <c r="H206" s="26">
        <v>144.69999999999999</v>
      </c>
      <c r="I206" s="26">
        <v>122.9</v>
      </c>
      <c r="J206" s="26">
        <v>149.4</v>
      </c>
      <c r="K206" s="26">
        <v>167.4</v>
      </c>
      <c r="L206" s="26">
        <v>130.9</v>
      </c>
      <c r="M206" s="26">
        <v>112</v>
      </c>
      <c r="N206" s="26">
        <v>142.6</v>
      </c>
      <c r="O206" s="26">
        <v>134.9</v>
      </c>
      <c r="P206" s="26">
        <v>156.6</v>
      </c>
      <c r="Q206" s="26">
        <v>145.9</v>
      </c>
      <c r="R206" s="26">
        <v>165.8</v>
      </c>
      <c r="S206" s="26">
        <v>149.1</v>
      </c>
      <c r="T206" s="26">
        <v>140.6</v>
      </c>
      <c r="U206" s="26">
        <v>147.9</v>
      </c>
      <c r="V206" s="26">
        <v>151.6</v>
      </c>
      <c r="W206" s="26">
        <v>138.5</v>
      </c>
      <c r="X206" s="26">
        <v>144.5</v>
      </c>
      <c r="Y206" s="26">
        <v>148.5</v>
      </c>
      <c r="Z206" s="26">
        <v>125.8</v>
      </c>
      <c r="AA206" s="26">
        <v>140.9</v>
      </c>
      <c r="AB206" s="26">
        <v>154.9</v>
      </c>
      <c r="AC206" s="26">
        <v>138.4</v>
      </c>
      <c r="AD206" s="26">
        <v>140.19999999999999</v>
      </c>
      <c r="AE206" s="26">
        <v>145</v>
      </c>
      <c r="AF206" s="26">
        <v>1846.5</v>
      </c>
      <c r="AG206" s="26">
        <v>437.6</v>
      </c>
      <c r="AH206" s="26">
        <v>434.6</v>
      </c>
      <c r="AI206" s="26">
        <v>286.89999999999998</v>
      </c>
      <c r="AJ206" s="26">
        <v>281.10000000000002</v>
      </c>
      <c r="AK206" s="26">
        <v>3733.2</v>
      </c>
    </row>
    <row r="207" spans="1:37" x14ac:dyDescent="0.25">
      <c r="A207" t="s">
        <v>35</v>
      </c>
      <c r="B207">
        <v>2019</v>
      </c>
      <c r="C207" t="s">
        <v>43</v>
      </c>
      <c r="D207" s="25">
        <v>43709</v>
      </c>
      <c r="E207" s="26">
        <v>140.9</v>
      </c>
      <c r="F207" s="26">
        <v>160.80000000000001</v>
      </c>
      <c r="G207" s="26">
        <v>139.6</v>
      </c>
      <c r="H207" s="26">
        <v>145.4</v>
      </c>
      <c r="I207" s="26">
        <v>123.5</v>
      </c>
      <c r="J207" s="26">
        <v>146.6</v>
      </c>
      <c r="K207" s="26">
        <v>173.2</v>
      </c>
      <c r="L207" s="26">
        <v>131.6</v>
      </c>
      <c r="M207" s="26">
        <v>113.2</v>
      </c>
      <c r="N207" s="26">
        <v>144.1</v>
      </c>
      <c r="O207" s="26">
        <v>135</v>
      </c>
      <c r="P207" s="26">
        <v>156.80000000000001</v>
      </c>
      <c r="Q207" s="26">
        <v>147</v>
      </c>
      <c r="R207" s="26">
        <v>166.5</v>
      </c>
      <c r="S207" s="26">
        <v>149.19999999999999</v>
      </c>
      <c r="T207" s="26">
        <v>140.6</v>
      </c>
      <c r="U207" s="26">
        <v>147.9</v>
      </c>
      <c r="V207" s="26">
        <v>152.19999999999999</v>
      </c>
      <c r="W207" s="26">
        <v>139.19999999999999</v>
      </c>
      <c r="X207" s="26">
        <v>144.6</v>
      </c>
      <c r="Y207" s="26">
        <v>149</v>
      </c>
      <c r="Z207" s="26">
        <v>126.1</v>
      </c>
      <c r="AA207" s="26">
        <v>141.30000000000001</v>
      </c>
      <c r="AB207" s="26">
        <v>155.19999999999999</v>
      </c>
      <c r="AC207" s="26">
        <v>139.69999999999999</v>
      </c>
      <c r="AD207" s="26">
        <v>140.69999999999999</v>
      </c>
      <c r="AE207" s="26">
        <v>145.80000000000001</v>
      </c>
      <c r="AF207" s="26">
        <v>1857.6999999999998</v>
      </c>
      <c r="AG207" s="26">
        <v>437.69999999999993</v>
      </c>
      <c r="AH207" s="26">
        <v>436</v>
      </c>
      <c r="AI207" s="26">
        <v>288.7</v>
      </c>
      <c r="AJ207" s="26">
        <v>282</v>
      </c>
      <c r="AK207" s="26">
        <v>3749.8999999999996</v>
      </c>
    </row>
    <row r="208" spans="1:37" x14ac:dyDescent="0.25">
      <c r="A208" t="s">
        <v>35</v>
      </c>
      <c r="B208">
        <v>2019</v>
      </c>
      <c r="C208" t="s">
        <v>44</v>
      </c>
      <c r="D208" s="25">
        <v>43739</v>
      </c>
      <c r="E208" s="26">
        <v>141.80000000000001</v>
      </c>
      <c r="F208" s="26">
        <v>161</v>
      </c>
      <c r="G208" s="26">
        <v>142.6</v>
      </c>
      <c r="H208" s="26">
        <v>146.19999999999999</v>
      </c>
      <c r="I208" s="26">
        <v>123.9</v>
      </c>
      <c r="J208" s="26">
        <v>148</v>
      </c>
      <c r="K208" s="26">
        <v>188.4</v>
      </c>
      <c r="L208" s="26">
        <v>132.5</v>
      </c>
      <c r="M208" s="26">
        <v>114</v>
      </c>
      <c r="N208" s="26">
        <v>145.4</v>
      </c>
      <c r="O208" s="26">
        <v>135.1</v>
      </c>
      <c r="P208" s="26">
        <v>157.1</v>
      </c>
      <c r="Q208" s="26">
        <v>149.6</v>
      </c>
      <c r="R208" s="26">
        <v>167.1</v>
      </c>
      <c r="S208" s="26">
        <v>149.4</v>
      </c>
      <c r="T208" s="26">
        <v>140.80000000000001</v>
      </c>
      <c r="U208" s="26">
        <v>148.19999999999999</v>
      </c>
      <c r="V208" s="26">
        <v>153</v>
      </c>
      <c r="W208" s="26">
        <v>140.6</v>
      </c>
      <c r="X208" s="26">
        <v>145</v>
      </c>
      <c r="Y208" s="26">
        <v>149.4</v>
      </c>
      <c r="Z208" s="26">
        <v>126.3</v>
      </c>
      <c r="AA208" s="26">
        <v>141.69999999999999</v>
      </c>
      <c r="AB208" s="26">
        <v>155.4</v>
      </c>
      <c r="AC208" s="26">
        <v>140</v>
      </c>
      <c r="AD208" s="26">
        <v>141</v>
      </c>
      <c r="AE208" s="26">
        <v>147.19999999999999</v>
      </c>
      <c r="AF208" s="26">
        <v>1885.5999999999997</v>
      </c>
      <c r="AG208" s="26">
        <v>438.40000000000003</v>
      </c>
      <c r="AH208" s="26">
        <v>438.6</v>
      </c>
      <c r="AI208" s="26">
        <v>289.39999999999998</v>
      </c>
      <c r="AJ208" s="26">
        <v>282.7</v>
      </c>
      <c r="AK208" s="26">
        <v>3783.4999999999995</v>
      </c>
    </row>
    <row r="209" spans="1:37" x14ac:dyDescent="0.25">
      <c r="A209" t="s">
        <v>35</v>
      </c>
      <c r="B209">
        <v>2019</v>
      </c>
      <c r="C209" t="s">
        <v>46</v>
      </c>
      <c r="D209" s="25">
        <v>43770</v>
      </c>
      <c r="E209" s="26">
        <v>142.5</v>
      </c>
      <c r="F209" s="26">
        <v>163.19999999999999</v>
      </c>
      <c r="G209" s="26">
        <v>145.6</v>
      </c>
      <c r="H209" s="26">
        <v>146.69999999999999</v>
      </c>
      <c r="I209" s="26">
        <v>124.3</v>
      </c>
      <c r="J209" s="26">
        <v>147.4</v>
      </c>
      <c r="K209" s="26">
        <v>199.6</v>
      </c>
      <c r="L209" s="26">
        <v>135.69999999999999</v>
      </c>
      <c r="M209" s="26">
        <v>114.2</v>
      </c>
      <c r="N209" s="26">
        <v>147</v>
      </c>
      <c r="O209" s="26">
        <v>135.30000000000001</v>
      </c>
      <c r="P209" s="26">
        <v>157.5</v>
      </c>
      <c r="Q209" s="26">
        <v>151.9</v>
      </c>
      <c r="R209" s="26">
        <v>167.9</v>
      </c>
      <c r="S209" s="26">
        <v>149.9</v>
      </c>
      <c r="T209" s="26">
        <v>141</v>
      </c>
      <c r="U209" s="26">
        <v>148.6</v>
      </c>
      <c r="V209" s="26">
        <v>153.5</v>
      </c>
      <c r="W209" s="26">
        <v>142.30000000000001</v>
      </c>
      <c r="X209" s="26">
        <v>145.30000000000001</v>
      </c>
      <c r="Y209" s="26">
        <v>149.9</v>
      </c>
      <c r="Z209" s="26">
        <v>126.6</v>
      </c>
      <c r="AA209" s="26">
        <v>142.1</v>
      </c>
      <c r="AB209" s="26">
        <v>155.5</v>
      </c>
      <c r="AC209" s="26">
        <v>140.30000000000001</v>
      </c>
      <c r="AD209" s="26">
        <v>141.30000000000001</v>
      </c>
      <c r="AE209" s="26">
        <v>148.6</v>
      </c>
      <c r="AF209" s="26">
        <v>1910.9</v>
      </c>
      <c r="AG209" s="26">
        <v>439.5</v>
      </c>
      <c r="AH209" s="26">
        <v>441.1</v>
      </c>
      <c r="AI209" s="26">
        <v>290.20000000000005</v>
      </c>
      <c r="AJ209" s="26">
        <v>283.39999999999998</v>
      </c>
      <c r="AK209" s="26">
        <v>3815.1</v>
      </c>
    </row>
    <row r="210" spans="1:37" x14ac:dyDescent="0.25">
      <c r="A210" t="s">
        <v>35</v>
      </c>
      <c r="B210">
        <v>2019</v>
      </c>
      <c r="C210" t="s">
        <v>47</v>
      </c>
      <c r="D210" s="25">
        <v>43800</v>
      </c>
      <c r="E210" s="26">
        <v>143.5</v>
      </c>
      <c r="F210" s="26">
        <v>165</v>
      </c>
      <c r="G210" s="26">
        <v>151.1</v>
      </c>
      <c r="H210" s="26">
        <v>148.30000000000001</v>
      </c>
      <c r="I210" s="26">
        <v>125.7</v>
      </c>
      <c r="J210" s="26">
        <v>145.69999999999999</v>
      </c>
      <c r="K210" s="26">
        <v>217</v>
      </c>
      <c r="L210" s="26">
        <v>138.30000000000001</v>
      </c>
      <c r="M210" s="26">
        <v>114</v>
      </c>
      <c r="N210" s="26">
        <v>148.69999999999999</v>
      </c>
      <c r="O210" s="26">
        <v>135.80000000000001</v>
      </c>
      <c r="P210" s="26">
        <v>158</v>
      </c>
      <c r="Q210" s="26">
        <v>155</v>
      </c>
      <c r="R210" s="26">
        <v>168.5</v>
      </c>
      <c r="S210" s="26">
        <v>150.30000000000001</v>
      </c>
      <c r="T210" s="26">
        <v>141.30000000000001</v>
      </c>
      <c r="U210" s="26">
        <v>149</v>
      </c>
      <c r="V210" s="26">
        <v>152.80000000000001</v>
      </c>
      <c r="W210" s="26">
        <v>143.69999999999999</v>
      </c>
      <c r="X210" s="26">
        <v>145.80000000000001</v>
      </c>
      <c r="Y210" s="26">
        <v>150.4</v>
      </c>
      <c r="Z210" s="26">
        <v>129.80000000000001</v>
      </c>
      <c r="AA210" s="26">
        <v>142.30000000000001</v>
      </c>
      <c r="AB210" s="26">
        <v>155.69999999999999</v>
      </c>
      <c r="AC210" s="26">
        <v>140.4</v>
      </c>
      <c r="AD210" s="26">
        <v>142.5</v>
      </c>
      <c r="AE210" s="26">
        <v>150.4</v>
      </c>
      <c r="AF210" s="26">
        <v>1946.1000000000001</v>
      </c>
      <c r="AG210" s="26">
        <v>440.6</v>
      </c>
      <c r="AH210" s="26">
        <v>442.3</v>
      </c>
      <c r="AI210" s="26">
        <v>290.8</v>
      </c>
      <c r="AJ210" s="26">
        <v>284.8</v>
      </c>
      <c r="AK210" s="26">
        <v>3858.6000000000008</v>
      </c>
    </row>
    <row r="211" spans="1:37" x14ac:dyDescent="0.25">
      <c r="A211" t="s">
        <v>35</v>
      </c>
      <c r="B211">
        <v>2020</v>
      </c>
      <c r="C211" t="s">
        <v>32</v>
      </c>
      <c r="D211" s="25">
        <v>43831</v>
      </c>
      <c r="E211" s="26">
        <v>144.30000000000001</v>
      </c>
      <c r="F211" s="26">
        <v>167.4</v>
      </c>
      <c r="G211" s="26">
        <v>154.9</v>
      </c>
      <c r="H211" s="26">
        <v>150.1</v>
      </c>
      <c r="I211" s="26">
        <v>129.9</v>
      </c>
      <c r="J211" s="26">
        <v>143.19999999999999</v>
      </c>
      <c r="K211" s="26">
        <v>197</v>
      </c>
      <c r="L211" s="26">
        <v>140.4</v>
      </c>
      <c r="M211" s="26">
        <v>114.1</v>
      </c>
      <c r="N211" s="26">
        <v>150.9</v>
      </c>
      <c r="O211" s="26">
        <v>136.1</v>
      </c>
      <c r="P211" s="26">
        <v>158.6</v>
      </c>
      <c r="Q211" s="26">
        <v>153.5</v>
      </c>
      <c r="R211" s="26">
        <v>169.2</v>
      </c>
      <c r="S211" s="26">
        <v>150.5</v>
      </c>
      <c r="T211" s="26">
        <v>141.5</v>
      </c>
      <c r="U211" s="26">
        <v>149.19999999999999</v>
      </c>
      <c r="V211" s="26">
        <v>153.9</v>
      </c>
      <c r="W211" s="26">
        <v>144.6</v>
      </c>
      <c r="X211" s="26">
        <v>146.19999999999999</v>
      </c>
      <c r="Y211" s="26">
        <v>151.19999999999999</v>
      </c>
      <c r="Z211" s="26">
        <v>130.9</v>
      </c>
      <c r="AA211" s="26">
        <v>142.80000000000001</v>
      </c>
      <c r="AB211" s="26">
        <v>156.1</v>
      </c>
      <c r="AC211" s="26">
        <v>142.30000000000001</v>
      </c>
      <c r="AD211" s="26">
        <v>143.4</v>
      </c>
      <c r="AE211" s="26">
        <v>150.19999999999999</v>
      </c>
      <c r="AF211" s="26">
        <v>1940.3999999999999</v>
      </c>
      <c r="AG211" s="26">
        <v>441.2</v>
      </c>
      <c r="AH211" s="26">
        <v>444.7</v>
      </c>
      <c r="AI211" s="26">
        <v>293.5</v>
      </c>
      <c r="AJ211" s="26">
        <v>286.20000000000005</v>
      </c>
      <c r="AK211" s="26">
        <v>3862.2</v>
      </c>
    </row>
    <row r="212" spans="1:37" x14ac:dyDescent="0.25">
      <c r="A212" t="s">
        <v>35</v>
      </c>
      <c r="B212">
        <v>2020</v>
      </c>
      <c r="C212" t="s">
        <v>36</v>
      </c>
      <c r="D212" s="25">
        <v>43862</v>
      </c>
      <c r="E212" s="26">
        <v>144.80000000000001</v>
      </c>
      <c r="F212" s="26">
        <v>167.5</v>
      </c>
      <c r="G212" s="26">
        <v>151.80000000000001</v>
      </c>
      <c r="H212" s="26">
        <v>150.80000000000001</v>
      </c>
      <c r="I212" s="26">
        <v>131.4</v>
      </c>
      <c r="J212" s="26">
        <v>141.80000000000001</v>
      </c>
      <c r="K212" s="26">
        <v>170.7</v>
      </c>
      <c r="L212" s="26">
        <v>141.1</v>
      </c>
      <c r="M212" s="26">
        <v>113.6</v>
      </c>
      <c r="N212" s="26">
        <v>152</v>
      </c>
      <c r="O212" s="26">
        <v>136.5</v>
      </c>
      <c r="P212" s="26">
        <v>159.1</v>
      </c>
      <c r="Q212" s="26">
        <v>150.5</v>
      </c>
      <c r="R212" s="26">
        <v>170.1</v>
      </c>
      <c r="S212" s="26">
        <v>150.80000000000001</v>
      </c>
      <c r="T212" s="26">
        <v>141.69999999999999</v>
      </c>
      <c r="U212" s="26">
        <v>149.5</v>
      </c>
      <c r="V212" s="26">
        <v>154.80000000000001</v>
      </c>
      <c r="W212" s="26">
        <v>147.19999999999999</v>
      </c>
      <c r="X212" s="26">
        <v>146.4</v>
      </c>
      <c r="Y212" s="26">
        <v>151.69999999999999</v>
      </c>
      <c r="Z212" s="26">
        <v>130.30000000000001</v>
      </c>
      <c r="AA212" s="26">
        <v>143.19999999999999</v>
      </c>
      <c r="AB212" s="26">
        <v>156.19999999999999</v>
      </c>
      <c r="AC212" s="26">
        <v>143.4</v>
      </c>
      <c r="AD212" s="26">
        <v>143.6</v>
      </c>
      <c r="AE212" s="26">
        <v>149.1</v>
      </c>
      <c r="AF212" s="26">
        <v>1911.6</v>
      </c>
      <c r="AG212" s="26">
        <v>442</v>
      </c>
      <c r="AH212" s="26">
        <v>448.4</v>
      </c>
      <c r="AI212" s="26">
        <v>295.10000000000002</v>
      </c>
      <c r="AJ212" s="26">
        <v>286.79999999999995</v>
      </c>
      <c r="AK212" s="26">
        <v>3840.5</v>
      </c>
    </row>
    <row r="213" spans="1:37" x14ac:dyDescent="0.25">
      <c r="A213" t="s">
        <v>35</v>
      </c>
      <c r="B213">
        <v>2020</v>
      </c>
      <c r="C213" t="s">
        <v>37</v>
      </c>
      <c r="D213" s="25">
        <v>43891</v>
      </c>
      <c r="E213" s="26">
        <v>145.1</v>
      </c>
      <c r="F213" s="26">
        <v>167</v>
      </c>
      <c r="G213" s="26">
        <v>148.1</v>
      </c>
      <c r="H213" s="26">
        <v>151.5</v>
      </c>
      <c r="I213" s="26">
        <v>131.19999999999999</v>
      </c>
      <c r="J213" s="26">
        <v>142.5</v>
      </c>
      <c r="K213" s="26">
        <v>157.30000000000001</v>
      </c>
      <c r="L213" s="26">
        <v>141.1</v>
      </c>
      <c r="M213" s="26">
        <v>113.2</v>
      </c>
      <c r="N213" s="26">
        <v>153.19999999999999</v>
      </c>
      <c r="O213" s="26">
        <v>136.69999999999999</v>
      </c>
      <c r="P213" s="26">
        <v>159.6</v>
      </c>
      <c r="Q213" s="26">
        <v>148.9</v>
      </c>
      <c r="R213" s="26">
        <v>171.2</v>
      </c>
      <c r="S213" s="26">
        <v>151.19999999999999</v>
      </c>
      <c r="T213" s="26">
        <v>141.9</v>
      </c>
      <c r="U213" s="26">
        <v>149.80000000000001</v>
      </c>
      <c r="V213" s="26">
        <v>154.5</v>
      </c>
      <c r="W213" s="26">
        <v>148.9</v>
      </c>
      <c r="X213" s="26">
        <v>146.4</v>
      </c>
      <c r="Y213" s="26">
        <v>152.30000000000001</v>
      </c>
      <c r="Z213" s="26">
        <v>129.9</v>
      </c>
      <c r="AA213" s="26">
        <v>143.69999999999999</v>
      </c>
      <c r="AB213" s="26">
        <v>156.1</v>
      </c>
      <c r="AC213" s="26">
        <v>145.19999999999999</v>
      </c>
      <c r="AD213" s="26">
        <v>143.80000000000001</v>
      </c>
      <c r="AE213" s="26">
        <v>148.6</v>
      </c>
      <c r="AF213" s="26">
        <v>1895.4</v>
      </c>
      <c r="AG213" s="26">
        <v>442.90000000000003</v>
      </c>
      <c r="AH213" s="26">
        <v>449.79999999999995</v>
      </c>
      <c r="AI213" s="26">
        <v>297.5</v>
      </c>
      <c r="AJ213" s="26">
        <v>287.5</v>
      </c>
      <c r="AK213" s="26">
        <v>3830.3</v>
      </c>
    </row>
    <row r="214" spans="1:37" x14ac:dyDescent="0.25">
      <c r="A214" t="s">
        <v>35</v>
      </c>
      <c r="B214">
        <v>2020</v>
      </c>
      <c r="C214" t="s">
        <v>38</v>
      </c>
      <c r="D214" s="25">
        <v>43922</v>
      </c>
      <c r="E214" s="26">
        <v>148.69999999999999</v>
      </c>
      <c r="F214" s="26">
        <f>AVERAGE(F211:F213)</f>
        <v>167.29999999999998</v>
      </c>
      <c r="G214" s="26">
        <v>148.80000000000001</v>
      </c>
      <c r="H214" s="26">
        <v>155.6</v>
      </c>
      <c r="I214" s="26">
        <v>135.1</v>
      </c>
      <c r="J214" s="26">
        <v>149.9</v>
      </c>
      <c r="K214" s="26">
        <v>168.6</v>
      </c>
      <c r="L214" s="26">
        <v>150.4</v>
      </c>
      <c r="M214" s="26">
        <v>120.3</v>
      </c>
      <c r="N214" s="26">
        <v>157.1</v>
      </c>
      <c r="O214" s="26">
        <v>136.80000000000001</v>
      </c>
      <c r="P214" s="26">
        <f>AVERAGE(P211:P213)</f>
        <v>159.1</v>
      </c>
      <c r="Q214" s="26">
        <v>151.4</v>
      </c>
      <c r="R214" s="26">
        <f t="shared" ref="R214:U215" si="5">AVERAGE(R211:R213)</f>
        <v>170.16666666666666</v>
      </c>
      <c r="S214" s="26">
        <f t="shared" si="5"/>
        <v>150.83333333333334</v>
      </c>
      <c r="T214" s="26">
        <f t="shared" si="5"/>
        <v>141.70000000000002</v>
      </c>
      <c r="U214" s="26">
        <f t="shared" si="5"/>
        <v>149.5</v>
      </c>
      <c r="V214" s="26">
        <v>155.6</v>
      </c>
      <c r="W214" s="26">
        <v>144.1</v>
      </c>
      <c r="X214" s="26">
        <f>AVERAGE(X211:X213)</f>
        <v>146.33333333333334</v>
      </c>
      <c r="Y214" s="26">
        <v>150.69999999999999</v>
      </c>
      <c r="Z214" s="26">
        <f t="shared" ref="Z214:AE215" si="6">AVERAGE(Z211:Z213)</f>
        <v>130.36666666666667</v>
      </c>
      <c r="AA214" s="26">
        <f t="shared" si="6"/>
        <v>143.23333333333332</v>
      </c>
      <c r="AB214" s="26">
        <f t="shared" si="6"/>
        <v>156.13333333333333</v>
      </c>
      <c r="AC214" s="26">
        <f t="shared" si="6"/>
        <v>143.63333333333335</v>
      </c>
      <c r="AD214" s="26">
        <f t="shared" si="6"/>
        <v>143.6</v>
      </c>
      <c r="AE214" s="26">
        <f t="shared" si="6"/>
        <v>149.29999999999998</v>
      </c>
      <c r="AF214" s="26">
        <v>1622.7</v>
      </c>
      <c r="AG214" s="26">
        <v>0</v>
      </c>
      <c r="AH214" s="26">
        <v>299.7</v>
      </c>
      <c r="AI214" s="26">
        <v>294.33333333333337</v>
      </c>
      <c r="AJ214" s="26">
        <v>286.83333333333331</v>
      </c>
      <c r="AK214" s="26">
        <v>2960.2333333333336</v>
      </c>
    </row>
    <row r="215" spans="1:37" x14ac:dyDescent="0.25">
      <c r="A215" t="s">
        <v>35</v>
      </c>
      <c r="B215">
        <v>2020</v>
      </c>
      <c r="C215" t="s">
        <v>39</v>
      </c>
      <c r="D215" s="25">
        <v>43952</v>
      </c>
      <c r="E215" s="26">
        <f>AVERAGE(E212:E214)</f>
        <v>146.19999999999999</v>
      </c>
      <c r="F215" s="26">
        <f>AVERAGE(F212:F214)</f>
        <v>167.26666666666665</v>
      </c>
      <c r="G215" s="26">
        <f t="shared" ref="G215:O215" si="7">AVERAGE(G212:G214)</f>
        <v>149.56666666666666</v>
      </c>
      <c r="H215" s="26">
        <f t="shared" si="7"/>
        <v>152.63333333333333</v>
      </c>
      <c r="I215" s="26">
        <f t="shared" si="7"/>
        <v>132.56666666666669</v>
      </c>
      <c r="J215" s="26">
        <f t="shared" si="7"/>
        <v>144.73333333333335</v>
      </c>
      <c r="K215" s="26">
        <f t="shared" si="7"/>
        <v>165.53333333333333</v>
      </c>
      <c r="L215" s="26">
        <f t="shared" si="7"/>
        <v>144.20000000000002</v>
      </c>
      <c r="M215" s="26">
        <f t="shared" si="7"/>
        <v>115.7</v>
      </c>
      <c r="N215" s="26">
        <f t="shared" si="7"/>
        <v>154.1</v>
      </c>
      <c r="O215" s="26">
        <f t="shared" si="7"/>
        <v>136.66666666666666</v>
      </c>
      <c r="P215" s="26">
        <f>AVERAGE(P212:P214)</f>
        <v>159.26666666666665</v>
      </c>
      <c r="Q215" s="26">
        <f>AVERAGE(Q212:Q214)</f>
        <v>150.26666666666665</v>
      </c>
      <c r="R215" s="26">
        <f t="shared" si="5"/>
        <v>170.48888888888885</v>
      </c>
      <c r="S215" s="26">
        <f t="shared" si="5"/>
        <v>150.94444444444446</v>
      </c>
      <c r="T215" s="26">
        <f t="shared" si="5"/>
        <v>141.76666666666668</v>
      </c>
      <c r="U215" s="26">
        <f t="shared" si="5"/>
        <v>149.6</v>
      </c>
      <c r="V215" s="26">
        <f>AVERAGE(V212:V214)</f>
        <v>154.96666666666667</v>
      </c>
      <c r="W215" s="26">
        <f>AVERAGE(W212:W214)</f>
        <v>146.73333333333335</v>
      </c>
      <c r="X215" s="26">
        <f>AVERAGE(X212:X214)</f>
        <v>146.37777777777777</v>
      </c>
      <c r="Y215" s="26">
        <f>AVERAGE(Y212:Y214)</f>
        <v>151.56666666666666</v>
      </c>
      <c r="Z215" s="26">
        <f t="shared" si="6"/>
        <v>130.1888888888889</v>
      </c>
      <c r="AA215" s="26">
        <f t="shared" si="6"/>
        <v>143.37777777777777</v>
      </c>
      <c r="AB215" s="26">
        <f t="shared" si="6"/>
        <v>156.14444444444442</v>
      </c>
      <c r="AC215" s="26">
        <f t="shared" si="6"/>
        <v>144.07777777777778</v>
      </c>
      <c r="AD215" s="26">
        <f t="shared" si="6"/>
        <v>143.66666666666666</v>
      </c>
      <c r="AE215" s="26">
        <f t="shared" si="6"/>
        <v>149</v>
      </c>
      <c r="AF215" s="26">
        <v>0</v>
      </c>
      <c r="AG215" s="26">
        <v>0</v>
      </c>
      <c r="AH215" s="26">
        <v>0</v>
      </c>
      <c r="AI215" s="26">
        <v>295.64444444444445</v>
      </c>
      <c r="AJ215" s="26">
        <v>287.04444444444442</v>
      </c>
      <c r="AK215" s="26">
        <v>1039.5111111111112</v>
      </c>
    </row>
    <row r="216" spans="1:37" x14ac:dyDescent="0.25">
      <c r="A216" t="s">
        <v>35</v>
      </c>
      <c r="B216">
        <v>2020</v>
      </c>
      <c r="C216" t="s">
        <v>40</v>
      </c>
      <c r="D216" s="25">
        <v>43983</v>
      </c>
      <c r="E216" s="26">
        <v>149.6</v>
      </c>
      <c r="F216" s="26">
        <v>192.7</v>
      </c>
      <c r="G216" s="26">
        <v>151.4</v>
      </c>
      <c r="H216" s="26">
        <v>153.30000000000001</v>
      </c>
      <c r="I216" s="26">
        <v>136.30000000000001</v>
      </c>
      <c r="J216" s="26">
        <v>147.19999999999999</v>
      </c>
      <c r="K216" s="26">
        <v>156.5</v>
      </c>
      <c r="L216" s="26">
        <v>150.9</v>
      </c>
      <c r="M216" s="26">
        <v>114.2</v>
      </c>
      <c r="N216" s="26">
        <v>159.5</v>
      </c>
      <c r="O216" s="26">
        <v>139.4</v>
      </c>
      <c r="P216" s="26">
        <v>161.80000000000001</v>
      </c>
      <c r="Q216" s="26">
        <v>154</v>
      </c>
      <c r="R216" s="26">
        <v>183.5</v>
      </c>
      <c r="S216" s="26">
        <v>152.5</v>
      </c>
      <c r="T216" s="26">
        <v>144.4</v>
      </c>
      <c r="U216" s="26">
        <v>151.4</v>
      </c>
      <c r="V216" s="26">
        <v>154.69999999999999</v>
      </c>
      <c r="W216" s="26">
        <v>141.9</v>
      </c>
      <c r="X216" s="26">
        <v>146.4</v>
      </c>
      <c r="Y216" s="26">
        <v>154.4</v>
      </c>
      <c r="Z216" s="26">
        <v>135</v>
      </c>
      <c r="AA216" s="26">
        <v>148.30000000000001</v>
      </c>
      <c r="AB216" s="26">
        <v>156.4</v>
      </c>
      <c r="AC216" s="26">
        <v>151.6</v>
      </c>
      <c r="AD216" s="26">
        <v>147</v>
      </c>
      <c r="AE216" s="26">
        <v>151.80000000000001</v>
      </c>
      <c r="AF216" s="26">
        <v>1966.8000000000002</v>
      </c>
      <c r="AG216" s="26">
        <v>448.29999999999995</v>
      </c>
      <c r="AH216" s="26">
        <v>443</v>
      </c>
      <c r="AI216" s="26">
        <v>306</v>
      </c>
      <c r="AJ216" s="26">
        <v>295.3</v>
      </c>
      <c r="AK216" s="26">
        <v>3934.3</v>
      </c>
    </row>
    <row r="217" spans="1:37" x14ac:dyDescent="0.25">
      <c r="A217" t="s">
        <v>35</v>
      </c>
      <c r="B217">
        <v>2020</v>
      </c>
      <c r="C217" t="s">
        <v>41</v>
      </c>
      <c r="D217" s="25">
        <v>44013</v>
      </c>
      <c r="E217" s="26">
        <v>149.6</v>
      </c>
      <c r="F217" s="26">
        <v>192.7</v>
      </c>
      <c r="G217" s="26">
        <v>151.4</v>
      </c>
      <c r="H217" s="26">
        <v>153.30000000000001</v>
      </c>
      <c r="I217" s="26">
        <v>136.30000000000001</v>
      </c>
      <c r="J217" s="26">
        <v>147.19999999999999</v>
      </c>
      <c r="K217" s="26">
        <v>156.5</v>
      </c>
      <c r="L217" s="26">
        <v>150.9</v>
      </c>
      <c r="M217" s="26">
        <v>114.2</v>
      </c>
      <c r="N217" s="26">
        <v>159.5</v>
      </c>
      <c r="O217" s="26">
        <v>139.4</v>
      </c>
      <c r="P217" s="26">
        <v>161.80000000000001</v>
      </c>
      <c r="Q217" s="26">
        <v>154</v>
      </c>
      <c r="R217" s="26">
        <v>183.5</v>
      </c>
      <c r="S217" s="26">
        <v>152.5</v>
      </c>
      <c r="T217" s="26">
        <v>144.4</v>
      </c>
      <c r="U217" s="26">
        <v>151.4</v>
      </c>
      <c r="V217" s="26">
        <v>154.69999999999999</v>
      </c>
      <c r="W217" s="26">
        <v>141.9</v>
      </c>
      <c r="X217" s="26">
        <v>146.4</v>
      </c>
      <c r="Y217" s="26">
        <v>154.4</v>
      </c>
      <c r="Z217" s="26">
        <v>135</v>
      </c>
      <c r="AA217" s="26">
        <v>148.30000000000001</v>
      </c>
      <c r="AB217" s="26">
        <v>156.4</v>
      </c>
      <c r="AC217" s="26">
        <v>151.6</v>
      </c>
      <c r="AD217" s="26">
        <v>147</v>
      </c>
      <c r="AE217" s="26">
        <v>151.80000000000001</v>
      </c>
      <c r="AF217" s="26">
        <v>1966.8000000000002</v>
      </c>
      <c r="AG217" s="26">
        <v>448.29999999999995</v>
      </c>
      <c r="AH217" s="26">
        <v>443</v>
      </c>
      <c r="AI217" s="26">
        <v>306</v>
      </c>
      <c r="AJ217" s="26">
        <v>295.3</v>
      </c>
      <c r="AK217" s="26">
        <v>3934.3</v>
      </c>
    </row>
    <row r="218" spans="1:37" x14ac:dyDescent="0.25">
      <c r="A218" t="s">
        <v>35</v>
      </c>
      <c r="B218">
        <v>2020</v>
      </c>
      <c r="C218" t="s">
        <v>42</v>
      </c>
      <c r="D218" s="25">
        <v>44044</v>
      </c>
      <c r="E218" s="26">
        <v>148.9</v>
      </c>
      <c r="F218" s="26">
        <v>190.9</v>
      </c>
      <c r="G218" s="26">
        <v>150.80000000000001</v>
      </c>
      <c r="H218" s="26">
        <v>153.30000000000001</v>
      </c>
      <c r="I218" s="26">
        <v>137.4</v>
      </c>
      <c r="J218" s="26">
        <v>150.4</v>
      </c>
      <c r="K218" s="26">
        <v>178.1</v>
      </c>
      <c r="L218" s="26">
        <v>150.4</v>
      </c>
      <c r="M218" s="26">
        <v>115.1</v>
      </c>
      <c r="N218" s="26">
        <v>160</v>
      </c>
      <c r="O218" s="26">
        <v>140.6</v>
      </c>
      <c r="P218" s="26">
        <v>162.30000000000001</v>
      </c>
      <c r="Q218" s="26">
        <v>157</v>
      </c>
      <c r="R218" s="26">
        <v>182.6</v>
      </c>
      <c r="S218" s="26">
        <v>153.1</v>
      </c>
      <c r="T218" s="26">
        <v>143.4</v>
      </c>
      <c r="U218" s="26">
        <v>151.69999999999999</v>
      </c>
      <c r="V218" s="26">
        <v>155.5</v>
      </c>
      <c r="W218" s="26">
        <v>143</v>
      </c>
      <c r="X218" s="26">
        <v>148.4</v>
      </c>
      <c r="Y218" s="26">
        <v>155</v>
      </c>
      <c r="Z218" s="26">
        <v>138.5</v>
      </c>
      <c r="AA218" s="26">
        <v>146</v>
      </c>
      <c r="AB218" s="26">
        <v>158.5</v>
      </c>
      <c r="AC218" s="26">
        <v>154.30000000000001</v>
      </c>
      <c r="AD218" s="26">
        <v>149</v>
      </c>
      <c r="AE218" s="26">
        <v>153.9</v>
      </c>
      <c r="AF218" s="26">
        <v>1995.1999999999998</v>
      </c>
      <c r="AG218" s="26">
        <v>448.2</v>
      </c>
      <c r="AH218" s="26">
        <v>446.9</v>
      </c>
      <c r="AI218" s="26">
        <v>309.3</v>
      </c>
      <c r="AJ218" s="26">
        <v>295</v>
      </c>
      <c r="AK218" s="26">
        <v>3974.2</v>
      </c>
    </row>
    <row r="219" spans="1:37" x14ac:dyDescent="0.25">
      <c r="A219" t="s">
        <v>35</v>
      </c>
      <c r="B219">
        <v>2020</v>
      </c>
      <c r="C219" t="s">
        <v>43</v>
      </c>
      <c r="D219" s="25">
        <v>44075</v>
      </c>
      <c r="E219" s="26">
        <v>148.4</v>
      </c>
      <c r="F219" s="26">
        <v>187.1</v>
      </c>
      <c r="G219" s="26">
        <v>152.5</v>
      </c>
      <c r="H219" s="26">
        <v>153.6</v>
      </c>
      <c r="I219" s="26">
        <v>138.19999999999999</v>
      </c>
      <c r="J219" s="26">
        <v>150.9</v>
      </c>
      <c r="K219" s="26">
        <v>186.7</v>
      </c>
      <c r="L219" s="26">
        <v>149.80000000000001</v>
      </c>
      <c r="M219" s="26">
        <v>116.4</v>
      </c>
      <c r="N219" s="26">
        <v>160.30000000000001</v>
      </c>
      <c r="O219" s="26">
        <v>142.19999999999999</v>
      </c>
      <c r="P219" s="26">
        <v>162.9</v>
      </c>
      <c r="Q219" s="26">
        <v>158</v>
      </c>
      <c r="R219" s="26">
        <v>184.4</v>
      </c>
      <c r="S219" s="26">
        <v>153.4</v>
      </c>
      <c r="T219" s="26">
        <v>144.30000000000001</v>
      </c>
      <c r="U219" s="26">
        <v>152</v>
      </c>
      <c r="V219" s="26">
        <v>156.30000000000001</v>
      </c>
      <c r="W219" s="26">
        <v>142.9</v>
      </c>
      <c r="X219" s="26">
        <v>148.69999999999999</v>
      </c>
      <c r="Y219" s="26">
        <v>155.6</v>
      </c>
      <c r="Z219" s="26">
        <v>139.6</v>
      </c>
      <c r="AA219" s="26">
        <v>146.6</v>
      </c>
      <c r="AB219" s="26">
        <v>157.5</v>
      </c>
      <c r="AC219" s="26">
        <v>158.4</v>
      </c>
      <c r="AD219" s="26">
        <v>150</v>
      </c>
      <c r="AE219" s="26">
        <v>154.69999999999999</v>
      </c>
      <c r="AF219" s="26">
        <v>2007</v>
      </c>
      <c r="AG219" s="26">
        <v>449.70000000000005</v>
      </c>
      <c r="AH219" s="26">
        <v>447.90000000000003</v>
      </c>
      <c r="AI219" s="26">
        <v>314</v>
      </c>
      <c r="AJ219" s="26">
        <v>296.60000000000002</v>
      </c>
      <c r="AK219" s="26">
        <v>3996.7</v>
      </c>
    </row>
    <row r="220" spans="1:37" x14ac:dyDescent="0.25">
      <c r="A220" t="s">
        <v>35</v>
      </c>
      <c r="B220">
        <v>2020</v>
      </c>
      <c r="C220" t="s">
        <v>44</v>
      </c>
      <c r="D220" s="25">
        <v>44105</v>
      </c>
      <c r="E220" s="26">
        <v>147.5</v>
      </c>
      <c r="F220" s="26">
        <v>188.9</v>
      </c>
      <c r="G220" s="26">
        <v>161.4</v>
      </c>
      <c r="H220" s="26">
        <v>153.6</v>
      </c>
      <c r="I220" s="26">
        <v>140.1</v>
      </c>
      <c r="J220" s="26">
        <v>151.19999999999999</v>
      </c>
      <c r="K220" s="26">
        <v>209.2</v>
      </c>
      <c r="L220" s="26">
        <v>150.9</v>
      </c>
      <c r="M220" s="26">
        <v>116.2</v>
      </c>
      <c r="N220" s="26">
        <v>161</v>
      </c>
      <c r="O220" s="26">
        <v>144</v>
      </c>
      <c r="P220" s="26">
        <v>163.19999999999999</v>
      </c>
      <c r="Q220" s="26">
        <v>161.4</v>
      </c>
      <c r="R220" s="26">
        <v>184.3</v>
      </c>
      <c r="S220" s="26">
        <v>153.69999999999999</v>
      </c>
      <c r="T220" s="26">
        <v>144.6</v>
      </c>
      <c r="U220" s="26">
        <v>152.30000000000001</v>
      </c>
      <c r="V220" s="26">
        <v>156.5</v>
      </c>
      <c r="W220" s="26">
        <v>143.1</v>
      </c>
      <c r="X220" s="26">
        <v>148.69999999999999</v>
      </c>
      <c r="Y220" s="26">
        <v>156.30000000000001</v>
      </c>
      <c r="Z220" s="26">
        <v>140.6</v>
      </c>
      <c r="AA220" s="26">
        <v>146.5</v>
      </c>
      <c r="AB220" s="26">
        <v>158.5</v>
      </c>
      <c r="AC220" s="26">
        <v>157</v>
      </c>
      <c r="AD220" s="26">
        <v>150.4</v>
      </c>
      <c r="AE220" s="26">
        <v>156.4</v>
      </c>
      <c r="AF220" s="26">
        <v>2048.6000000000004</v>
      </c>
      <c r="AG220" s="26">
        <v>450.59999999999997</v>
      </c>
      <c r="AH220" s="26">
        <v>448.3</v>
      </c>
      <c r="AI220" s="26">
        <v>313.3</v>
      </c>
      <c r="AJ220" s="26">
        <v>296.89999999999998</v>
      </c>
      <c r="AK220" s="26">
        <v>4041.1000000000008</v>
      </c>
    </row>
    <row r="221" spans="1:37" x14ac:dyDescent="0.25">
      <c r="A221" t="s">
        <v>35</v>
      </c>
      <c r="B221">
        <v>2020</v>
      </c>
      <c r="C221" t="s">
        <v>46</v>
      </c>
      <c r="D221" s="25">
        <v>44136</v>
      </c>
      <c r="E221" s="26">
        <v>146.80000000000001</v>
      </c>
      <c r="F221" s="26">
        <v>191</v>
      </c>
      <c r="G221" s="26">
        <v>173.6</v>
      </c>
      <c r="H221" s="26">
        <v>153.80000000000001</v>
      </c>
      <c r="I221" s="26">
        <v>142.69999999999999</v>
      </c>
      <c r="J221" s="26">
        <v>148.4</v>
      </c>
      <c r="K221" s="26">
        <v>230</v>
      </c>
      <c r="L221" s="26">
        <v>156.80000000000001</v>
      </c>
      <c r="M221" s="26">
        <v>115.7</v>
      </c>
      <c r="N221" s="26">
        <v>161.80000000000001</v>
      </c>
      <c r="O221" s="26">
        <v>146.5</v>
      </c>
      <c r="P221" s="26">
        <v>163.80000000000001</v>
      </c>
      <c r="Q221" s="26">
        <v>164.7</v>
      </c>
      <c r="R221" s="26">
        <v>184.8</v>
      </c>
      <c r="S221" s="26">
        <v>154.30000000000001</v>
      </c>
      <c r="T221" s="26">
        <v>144.9</v>
      </c>
      <c r="U221" s="26">
        <v>152.80000000000001</v>
      </c>
      <c r="V221" s="26">
        <v>158</v>
      </c>
      <c r="W221" s="26">
        <v>143.6</v>
      </c>
      <c r="X221" s="26">
        <v>149.19999999999999</v>
      </c>
      <c r="Y221" s="26">
        <v>157.19999999999999</v>
      </c>
      <c r="Z221" s="26">
        <v>140.4</v>
      </c>
      <c r="AA221" s="26">
        <v>148.4</v>
      </c>
      <c r="AB221" s="26">
        <v>158.6</v>
      </c>
      <c r="AC221" s="26">
        <v>156.9</v>
      </c>
      <c r="AD221" s="26">
        <v>150.69999999999999</v>
      </c>
      <c r="AE221" s="26">
        <v>158.4</v>
      </c>
      <c r="AF221" s="26">
        <v>2095.6</v>
      </c>
      <c r="AG221" s="26">
        <v>452.00000000000006</v>
      </c>
      <c r="AH221" s="26">
        <v>450.8</v>
      </c>
      <c r="AI221" s="26">
        <v>314.10000000000002</v>
      </c>
      <c r="AJ221" s="26">
        <v>299.10000000000002</v>
      </c>
      <c r="AK221" s="26">
        <v>4095.4</v>
      </c>
    </row>
    <row r="222" spans="1:37" x14ac:dyDescent="0.25">
      <c r="A222" t="s">
        <v>35</v>
      </c>
      <c r="B222">
        <v>2020</v>
      </c>
      <c r="C222" t="s">
        <v>47</v>
      </c>
      <c r="D222" s="25">
        <v>44166</v>
      </c>
      <c r="E222" s="26">
        <v>146</v>
      </c>
      <c r="F222" s="26">
        <v>191</v>
      </c>
      <c r="G222" s="26">
        <v>175.3</v>
      </c>
      <c r="H222" s="26">
        <v>154.1</v>
      </c>
      <c r="I222" s="26">
        <v>146.6</v>
      </c>
      <c r="J222" s="26">
        <v>147.69999999999999</v>
      </c>
      <c r="K222" s="26">
        <v>230.5</v>
      </c>
      <c r="L222" s="26">
        <v>160.19999999999999</v>
      </c>
      <c r="M222" s="26">
        <v>115.3</v>
      </c>
      <c r="N222" s="26">
        <v>163</v>
      </c>
      <c r="O222" s="26">
        <v>149.19999999999999</v>
      </c>
      <c r="P222" s="26">
        <v>164.8</v>
      </c>
      <c r="Q222" s="26">
        <v>165.4</v>
      </c>
      <c r="R222" s="26">
        <v>185.4</v>
      </c>
      <c r="S222" s="26">
        <v>155</v>
      </c>
      <c r="T222" s="26">
        <v>145.4</v>
      </c>
      <c r="U222" s="26">
        <v>153.6</v>
      </c>
      <c r="V222" s="26">
        <v>158.4</v>
      </c>
      <c r="W222" s="26">
        <v>144.6</v>
      </c>
      <c r="X222" s="26">
        <v>149.69999999999999</v>
      </c>
      <c r="Y222" s="26">
        <v>158.30000000000001</v>
      </c>
      <c r="Z222" s="26">
        <v>140.69999999999999</v>
      </c>
      <c r="AA222" s="26">
        <v>148.5</v>
      </c>
      <c r="AB222" s="26">
        <v>159.4</v>
      </c>
      <c r="AC222" s="26">
        <v>157.1</v>
      </c>
      <c r="AD222" s="26">
        <v>151.19999999999999</v>
      </c>
      <c r="AE222" s="26">
        <v>158.9</v>
      </c>
      <c r="AF222" s="26">
        <v>2109.1</v>
      </c>
      <c r="AG222" s="26">
        <v>454</v>
      </c>
      <c r="AH222" s="26">
        <v>452.7</v>
      </c>
      <c r="AI222" s="26">
        <v>315.39999999999998</v>
      </c>
      <c r="AJ222" s="26">
        <v>299.7</v>
      </c>
      <c r="AK222" s="26">
        <v>4116.3999999999996</v>
      </c>
    </row>
    <row r="223" spans="1:37" x14ac:dyDescent="0.25">
      <c r="A223" t="s">
        <v>35</v>
      </c>
      <c r="B223">
        <v>2021</v>
      </c>
      <c r="C223" t="s">
        <v>32</v>
      </c>
      <c r="D223" s="25">
        <v>44197</v>
      </c>
      <c r="E223" s="26">
        <v>144.9</v>
      </c>
      <c r="F223" s="26">
        <v>190.1</v>
      </c>
      <c r="G223" s="26">
        <v>175.3</v>
      </c>
      <c r="H223" s="26">
        <v>154.1</v>
      </c>
      <c r="I223" s="26">
        <v>150.9</v>
      </c>
      <c r="J223" s="26">
        <v>149.6</v>
      </c>
      <c r="K223" s="26">
        <v>194.2</v>
      </c>
      <c r="L223" s="26">
        <v>160.4</v>
      </c>
      <c r="M223" s="26">
        <v>114.6</v>
      </c>
      <c r="N223" s="26">
        <v>164</v>
      </c>
      <c r="O223" s="26">
        <v>151.80000000000001</v>
      </c>
      <c r="P223" s="26">
        <v>165.6</v>
      </c>
      <c r="Q223" s="26">
        <v>161</v>
      </c>
      <c r="R223" s="26">
        <v>186.5</v>
      </c>
      <c r="S223" s="26">
        <v>155.5</v>
      </c>
      <c r="T223" s="26">
        <v>146.1</v>
      </c>
      <c r="U223" s="26">
        <v>154.19999999999999</v>
      </c>
      <c r="V223" s="26">
        <v>157.69999999999999</v>
      </c>
      <c r="W223" s="26">
        <v>147.9</v>
      </c>
      <c r="X223" s="26">
        <v>150</v>
      </c>
      <c r="Y223" s="26">
        <v>159.30000000000001</v>
      </c>
      <c r="Z223" s="26">
        <v>141.9</v>
      </c>
      <c r="AA223" s="26">
        <v>149.6</v>
      </c>
      <c r="AB223" s="26">
        <v>159.19999999999999</v>
      </c>
      <c r="AC223" s="26">
        <v>156.80000000000001</v>
      </c>
      <c r="AD223" s="26">
        <v>151.9</v>
      </c>
      <c r="AE223" s="26">
        <v>157.30000000000001</v>
      </c>
      <c r="AF223" s="26">
        <v>2076.5</v>
      </c>
      <c r="AG223" s="26">
        <v>455.8</v>
      </c>
      <c r="AH223" s="26">
        <v>455.6</v>
      </c>
      <c r="AI223" s="26">
        <v>316.10000000000002</v>
      </c>
      <c r="AJ223" s="26">
        <v>301.5</v>
      </c>
      <c r="AK223" s="26">
        <v>4093.1</v>
      </c>
    </row>
    <row r="224" spans="1:37" x14ac:dyDescent="0.25">
      <c r="A224" t="s">
        <v>35</v>
      </c>
      <c r="B224">
        <v>2021</v>
      </c>
      <c r="C224" t="s">
        <v>36</v>
      </c>
      <c r="D224" s="25">
        <v>44228</v>
      </c>
      <c r="E224" s="26">
        <v>144.30000000000001</v>
      </c>
      <c r="F224" s="26">
        <v>186.5</v>
      </c>
      <c r="G224" s="26">
        <v>168.7</v>
      </c>
      <c r="H224" s="26">
        <v>154.69999999999999</v>
      </c>
      <c r="I224" s="26">
        <v>158.69999999999999</v>
      </c>
      <c r="J224" s="26">
        <v>150.69999999999999</v>
      </c>
      <c r="K224" s="26">
        <v>160</v>
      </c>
      <c r="L224" s="26">
        <v>158.80000000000001</v>
      </c>
      <c r="M224" s="26">
        <v>112.8</v>
      </c>
      <c r="N224" s="26">
        <v>164.2</v>
      </c>
      <c r="O224" s="26">
        <v>155.5</v>
      </c>
      <c r="P224" s="26">
        <v>167.5</v>
      </c>
      <c r="Q224" s="26">
        <v>156.9</v>
      </c>
      <c r="R224" s="26">
        <v>188.3</v>
      </c>
      <c r="S224" s="26">
        <v>157.19999999999999</v>
      </c>
      <c r="T224" s="26">
        <v>147.4</v>
      </c>
      <c r="U224" s="26">
        <v>155.80000000000001</v>
      </c>
      <c r="V224" s="26">
        <v>159.80000000000001</v>
      </c>
      <c r="W224" s="26">
        <v>152.4</v>
      </c>
      <c r="X224" s="26">
        <v>150.9</v>
      </c>
      <c r="Y224" s="26">
        <v>161.30000000000001</v>
      </c>
      <c r="Z224" s="26">
        <v>145.1</v>
      </c>
      <c r="AA224" s="26">
        <v>151.5</v>
      </c>
      <c r="AB224" s="26">
        <v>159.5</v>
      </c>
      <c r="AC224" s="26">
        <v>155.80000000000001</v>
      </c>
      <c r="AD224" s="26">
        <v>153.4</v>
      </c>
      <c r="AE224" s="26">
        <v>156.6</v>
      </c>
      <c r="AF224" s="26">
        <v>2039.3000000000002</v>
      </c>
      <c r="AG224" s="26">
        <v>460.40000000000003</v>
      </c>
      <c r="AH224" s="26">
        <v>463.1</v>
      </c>
      <c r="AI224" s="26">
        <v>317.10000000000002</v>
      </c>
      <c r="AJ224" s="26">
        <v>304.89999999999998</v>
      </c>
      <c r="AK224" s="26">
        <v>4077.7000000000003</v>
      </c>
    </row>
    <row r="225" spans="1:37" x14ac:dyDescent="0.25">
      <c r="A225" t="s">
        <v>35</v>
      </c>
      <c r="B225">
        <v>2021</v>
      </c>
      <c r="C225" t="s">
        <v>37</v>
      </c>
      <c r="D225" s="25">
        <v>44256</v>
      </c>
      <c r="E225" s="26">
        <v>144.1</v>
      </c>
      <c r="F225" s="26">
        <v>192.2</v>
      </c>
      <c r="G225" s="26">
        <v>163.80000000000001</v>
      </c>
      <c r="H225" s="26">
        <v>154.9</v>
      </c>
      <c r="I225" s="26">
        <v>163.9</v>
      </c>
      <c r="J225" s="26">
        <v>153.69999999999999</v>
      </c>
      <c r="K225" s="26">
        <v>149.5</v>
      </c>
      <c r="L225" s="26">
        <v>159.80000000000001</v>
      </c>
      <c r="M225" s="26">
        <v>112.6</v>
      </c>
      <c r="N225" s="26">
        <v>163.5</v>
      </c>
      <c r="O225" s="26">
        <v>156.5</v>
      </c>
      <c r="P225" s="26">
        <v>168.2</v>
      </c>
      <c r="Q225" s="26">
        <v>156.69999999999999</v>
      </c>
      <c r="R225" s="26">
        <v>188.1</v>
      </c>
      <c r="S225" s="26">
        <v>157.80000000000001</v>
      </c>
      <c r="T225" s="26">
        <v>147.9</v>
      </c>
      <c r="U225" s="26">
        <v>156.4</v>
      </c>
      <c r="V225" s="26">
        <v>159.9</v>
      </c>
      <c r="W225" s="26">
        <v>155.5</v>
      </c>
      <c r="X225" s="26">
        <v>151.19999999999999</v>
      </c>
      <c r="Y225" s="26">
        <v>161.69999999999999</v>
      </c>
      <c r="Z225" s="26">
        <v>146.19999999999999</v>
      </c>
      <c r="AA225" s="26">
        <v>152.6</v>
      </c>
      <c r="AB225" s="26">
        <v>160.19999999999999</v>
      </c>
      <c r="AC225" s="26">
        <v>153.80000000000001</v>
      </c>
      <c r="AD225" s="26">
        <v>153.80000000000001</v>
      </c>
      <c r="AE225" s="26">
        <v>156.80000000000001</v>
      </c>
      <c r="AF225" s="26">
        <v>2039.3999999999999</v>
      </c>
      <c r="AG225" s="26">
        <v>462.1</v>
      </c>
      <c r="AH225" s="26">
        <v>466.59999999999997</v>
      </c>
      <c r="AI225" s="26">
        <v>315.5</v>
      </c>
      <c r="AJ225" s="26">
        <v>306.39999999999998</v>
      </c>
      <c r="AK225" s="26">
        <v>4084.4999999999995</v>
      </c>
    </row>
    <row r="226" spans="1:37" x14ac:dyDescent="0.25">
      <c r="A226" t="s">
        <v>35</v>
      </c>
      <c r="B226">
        <v>2021</v>
      </c>
      <c r="C226" t="s">
        <v>38</v>
      </c>
      <c r="D226" s="25">
        <v>44287</v>
      </c>
      <c r="E226" s="26">
        <v>144.30000000000001</v>
      </c>
      <c r="F226" s="26">
        <v>198</v>
      </c>
      <c r="G226" s="26">
        <v>164.6</v>
      </c>
      <c r="H226" s="26">
        <v>155.4</v>
      </c>
      <c r="I226" s="26">
        <v>170.1</v>
      </c>
      <c r="J226" s="26">
        <v>164.4</v>
      </c>
      <c r="K226" s="26">
        <v>144.1</v>
      </c>
      <c r="L226" s="26">
        <v>161.69999999999999</v>
      </c>
      <c r="M226" s="26">
        <v>113.1</v>
      </c>
      <c r="N226" s="26">
        <v>163.9</v>
      </c>
      <c r="O226" s="26">
        <v>157.6</v>
      </c>
      <c r="P226" s="26">
        <v>168.9</v>
      </c>
      <c r="Q226" s="26">
        <v>158</v>
      </c>
      <c r="R226" s="26">
        <v>188.8</v>
      </c>
      <c r="S226" s="26">
        <v>158.80000000000001</v>
      </c>
      <c r="T226" s="26">
        <v>148.5</v>
      </c>
      <c r="U226" s="26">
        <v>157.30000000000001</v>
      </c>
      <c r="V226" s="26">
        <v>161.4</v>
      </c>
      <c r="W226" s="26">
        <v>155.6</v>
      </c>
      <c r="X226" s="26">
        <v>151.80000000000001</v>
      </c>
      <c r="Y226" s="26">
        <v>162.30000000000001</v>
      </c>
      <c r="Z226" s="26">
        <v>146.6</v>
      </c>
      <c r="AA226" s="26">
        <v>153.19999999999999</v>
      </c>
      <c r="AB226" s="26">
        <v>160.30000000000001</v>
      </c>
      <c r="AC226" s="26">
        <v>155.4</v>
      </c>
      <c r="AD226" s="26">
        <v>154.4</v>
      </c>
      <c r="AE226" s="26">
        <v>157.80000000000001</v>
      </c>
      <c r="AF226" s="26">
        <v>2064.1</v>
      </c>
      <c r="AG226" s="26">
        <v>464.6</v>
      </c>
      <c r="AH226" s="26">
        <v>468.8</v>
      </c>
      <c r="AI226" s="26">
        <v>317.70000000000005</v>
      </c>
      <c r="AJ226" s="26">
        <v>307.60000000000002</v>
      </c>
      <c r="AK226" s="26">
        <v>4118.5</v>
      </c>
    </row>
    <row r="227" spans="1:37" x14ac:dyDescent="0.25">
      <c r="A227" t="s">
        <v>35</v>
      </c>
      <c r="B227">
        <v>2021</v>
      </c>
      <c r="C227" t="s">
        <v>39</v>
      </c>
      <c r="D227" s="25">
        <v>44317</v>
      </c>
      <c r="E227" s="26">
        <v>146.30000000000001</v>
      </c>
      <c r="F227" s="26">
        <v>200.5</v>
      </c>
      <c r="G227" s="26">
        <v>170.3</v>
      </c>
      <c r="H227" s="26">
        <v>156.1</v>
      </c>
      <c r="I227" s="26">
        <v>178.7</v>
      </c>
      <c r="J227" s="26">
        <v>167.1</v>
      </c>
      <c r="K227" s="26">
        <v>147.9</v>
      </c>
      <c r="L227" s="26">
        <v>165.4</v>
      </c>
      <c r="M227" s="26">
        <v>114.8</v>
      </c>
      <c r="N227" s="26">
        <v>168.2</v>
      </c>
      <c r="O227" s="26">
        <v>159.30000000000001</v>
      </c>
      <c r="P227" s="26">
        <v>170.4</v>
      </c>
      <c r="Q227" s="26">
        <v>160.69999999999999</v>
      </c>
      <c r="R227" s="26">
        <v>191.9</v>
      </c>
      <c r="S227" s="26">
        <v>161.80000000000001</v>
      </c>
      <c r="T227" s="26">
        <v>152.1</v>
      </c>
      <c r="U227" s="26">
        <v>160.4</v>
      </c>
      <c r="V227" s="26">
        <v>161.6</v>
      </c>
      <c r="W227" s="26">
        <v>159.4</v>
      </c>
      <c r="X227" s="26">
        <v>154.69999999999999</v>
      </c>
      <c r="Y227" s="26">
        <v>165.8</v>
      </c>
      <c r="Z227" s="26">
        <v>148.9</v>
      </c>
      <c r="AA227" s="26">
        <v>155.80000000000001</v>
      </c>
      <c r="AB227" s="26">
        <v>161.19999999999999</v>
      </c>
      <c r="AC227" s="26">
        <v>158.6</v>
      </c>
      <c r="AD227" s="26">
        <v>156.80000000000001</v>
      </c>
      <c r="AE227" s="26">
        <v>160.4</v>
      </c>
      <c r="AF227" s="26">
        <v>2105.7000000000003</v>
      </c>
      <c r="AG227" s="26">
        <v>474.29999999999995</v>
      </c>
      <c r="AH227" s="26">
        <v>475.7</v>
      </c>
      <c r="AI227" s="26">
        <v>324.39999999999998</v>
      </c>
      <c r="AJ227" s="26">
        <v>312.60000000000002</v>
      </c>
      <c r="AK227" s="26">
        <v>4194.7</v>
      </c>
    </row>
    <row r="228" spans="1:37" x14ac:dyDescent="0.25">
      <c r="A228" t="s">
        <v>35</v>
      </c>
      <c r="B228">
        <v>2021</v>
      </c>
      <c r="C228" t="s">
        <v>40</v>
      </c>
      <c r="D228" s="25">
        <v>44348</v>
      </c>
      <c r="E228" s="26">
        <v>146.69999999999999</v>
      </c>
      <c r="F228" s="26">
        <v>202</v>
      </c>
      <c r="G228" s="26">
        <v>180.7</v>
      </c>
      <c r="H228" s="26">
        <v>156.19999999999999</v>
      </c>
      <c r="I228" s="26">
        <v>183.7</v>
      </c>
      <c r="J228" s="26">
        <v>164.6</v>
      </c>
      <c r="K228" s="26">
        <v>155.4</v>
      </c>
      <c r="L228" s="26">
        <v>166</v>
      </c>
      <c r="M228" s="26">
        <v>115.1</v>
      </c>
      <c r="N228" s="26">
        <v>168.5</v>
      </c>
      <c r="O228" s="26">
        <v>160</v>
      </c>
      <c r="P228" s="26">
        <v>172.4</v>
      </c>
      <c r="Q228" s="26">
        <v>162.6</v>
      </c>
      <c r="R228" s="26">
        <v>190.8</v>
      </c>
      <c r="S228" s="26">
        <v>162.19999999999999</v>
      </c>
      <c r="T228" s="26">
        <v>151.80000000000001</v>
      </c>
      <c r="U228" s="26">
        <v>160.69999999999999</v>
      </c>
      <c r="V228" s="26">
        <v>160.5</v>
      </c>
      <c r="W228" s="26">
        <v>159.80000000000001</v>
      </c>
      <c r="X228" s="26">
        <v>154.80000000000001</v>
      </c>
      <c r="Y228" s="26">
        <v>166.3</v>
      </c>
      <c r="Z228" s="26">
        <v>150.69999999999999</v>
      </c>
      <c r="AA228" s="26">
        <v>154.9</v>
      </c>
      <c r="AB228" s="26">
        <v>161.69999999999999</v>
      </c>
      <c r="AC228" s="26">
        <v>158.80000000000001</v>
      </c>
      <c r="AD228" s="26">
        <v>157.6</v>
      </c>
      <c r="AE228" s="26">
        <v>161.30000000000001</v>
      </c>
      <c r="AF228" s="26">
        <v>2133.9</v>
      </c>
      <c r="AG228" s="26">
        <v>474.7</v>
      </c>
      <c r="AH228" s="26">
        <v>475.1</v>
      </c>
      <c r="AI228" s="26">
        <v>325.10000000000002</v>
      </c>
      <c r="AJ228" s="26">
        <v>312.5</v>
      </c>
      <c r="AK228" s="26">
        <v>4224.5</v>
      </c>
    </row>
    <row r="229" spans="1:37" x14ac:dyDescent="0.25">
      <c r="A229" t="s">
        <v>35</v>
      </c>
      <c r="B229">
        <v>2021</v>
      </c>
      <c r="C229" t="s">
        <v>41</v>
      </c>
      <c r="D229" s="25">
        <v>44378</v>
      </c>
      <c r="E229" s="26">
        <v>146.4</v>
      </c>
      <c r="F229" s="26">
        <v>206.8</v>
      </c>
      <c r="G229" s="26">
        <v>182.2</v>
      </c>
      <c r="H229" s="26">
        <v>157.5</v>
      </c>
      <c r="I229" s="26">
        <v>182.1</v>
      </c>
      <c r="J229" s="26">
        <v>163.9</v>
      </c>
      <c r="K229" s="26">
        <v>164.2</v>
      </c>
      <c r="L229" s="26">
        <v>164</v>
      </c>
      <c r="M229" s="26">
        <v>114.5</v>
      </c>
      <c r="N229" s="26">
        <v>168.3</v>
      </c>
      <c r="O229" s="26">
        <v>160.9</v>
      </c>
      <c r="P229" s="26">
        <v>172.2</v>
      </c>
      <c r="Q229" s="26">
        <v>164</v>
      </c>
      <c r="R229" s="26">
        <v>191.2</v>
      </c>
      <c r="S229" s="26">
        <v>162.80000000000001</v>
      </c>
      <c r="T229" s="26">
        <v>153.1</v>
      </c>
      <c r="U229" s="26">
        <v>161.4</v>
      </c>
      <c r="V229" s="26">
        <v>161.5</v>
      </c>
      <c r="W229" s="26">
        <v>160.69999999999999</v>
      </c>
      <c r="X229" s="26">
        <v>155.80000000000001</v>
      </c>
      <c r="Y229" s="26">
        <v>167</v>
      </c>
      <c r="Z229" s="26">
        <v>153.1</v>
      </c>
      <c r="AA229" s="26">
        <v>155.30000000000001</v>
      </c>
      <c r="AB229" s="26">
        <v>163.19999999999999</v>
      </c>
      <c r="AC229" s="26">
        <v>160.1</v>
      </c>
      <c r="AD229" s="26">
        <v>159</v>
      </c>
      <c r="AE229" s="26">
        <v>162.5</v>
      </c>
      <c r="AF229" s="26">
        <v>2147</v>
      </c>
      <c r="AG229" s="26">
        <v>477.29999999999995</v>
      </c>
      <c r="AH229" s="26">
        <v>478</v>
      </c>
      <c r="AI229" s="26">
        <v>327.10000000000002</v>
      </c>
      <c r="AJ229" s="26">
        <v>314.3</v>
      </c>
      <c r="AK229" s="26">
        <v>4251.2</v>
      </c>
    </row>
    <row r="230" spans="1:37" x14ac:dyDescent="0.25">
      <c r="A230" t="s">
        <v>35</v>
      </c>
      <c r="B230">
        <v>2021</v>
      </c>
      <c r="C230" t="s">
        <v>42</v>
      </c>
      <c r="D230" s="25">
        <v>44409</v>
      </c>
      <c r="E230" s="26">
        <v>146.6</v>
      </c>
      <c r="F230" s="26">
        <v>204</v>
      </c>
      <c r="G230" s="26">
        <v>172.8</v>
      </c>
      <c r="H230" s="26">
        <v>158.4</v>
      </c>
      <c r="I230" s="26">
        <v>188</v>
      </c>
      <c r="J230" s="26">
        <v>156.80000000000001</v>
      </c>
      <c r="K230" s="26">
        <v>162.19999999999999</v>
      </c>
      <c r="L230" s="26">
        <v>164.1</v>
      </c>
      <c r="M230" s="26">
        <v>119.7</v>
      </c>
      <c r="N230" s="26">
        <v>168.8</v>
      </c>
      <c r="O230" s="26">
        <v>162.69999999999999</v>
      </c>
      <c r="P230" s="26">
        <v>173.9</v>
      </c>
      <c r="Q230" s="26">
        <v>164</v>
      </c>
      <c r="R230" s="26">
        <v>192.1</v>
      </c>
      <c r="S230" s="26">
        <v>164.5</v>
      </c>
      <c r="T230" s="26">
        <v>155.30000000000001</v>
      </c>
      <c r="U230" s="26">
        <v>163.19999999999999</v>
      </c>
      <c r="V230" s="26">
        <v>162.1</v>
      </c>
      <c r="W230" s="26">
        <v>162.6</v>
      </c>
      <c r="X230" s="26">
        <v>157.5</v>
      </c>
      <c r="Y230" s="26">
        <v>168.4</v>
      </c>
      <c r="Z230" s="26">
        <v>154</v>
      </c>
      <c r="AA230" s="26">
        <v>157.6</v>
      </c>
      <c r="AB230" s="26">
        <v>163.80000000000001</v>
      </c>
      <c r="AC230" s="26">
        <v>160</v>
      </c>
      <c r="AD230" s="26">
        <v>160</v>
      </c>
      <c r="AE230" s="26">
        <v>163.19999999999999</v>
      </c>
      <c r="AF230" s="26">
        <v>2142</v>
      </c>
      <c r="AG230" s="26">
        <v>483</v>
      </c>
      <c r="AH230" s="26">
        <v>482.2</v>
      </c>
      <c r="AI230" s="26">
        <v>328.4</v>
      </c>
      <c r="AJ230" s="26">
        <v>317.60000000000002</v>
      </c>
      <c r="AK230" s="26">
        <v>4263.1000000000004</v>
      </c>
    </row>
    <row r="231" spans="1:37" x14ac:dyDescent="0.25">
      <c r="A231" t="s">
        <v>35</v>
      </c>
      <c r="B231">
        <v>2021</v>
      </c>
      <c r="C231" t="s">
        <v>43</v>
      </c>
      <c r="D231" s="25">
        <v>44440</v>
      </c>
      <c r="E231" s="26">
        <v>146.6</v>
      </c>
      <c r="F231" s="26">
        <v>204</v>
      </c>
      <c r="G231" s="26">
        <v>172.8</v>
      </c>
      <c r="H231" s="26">
        <v>158.4</v>
      </c>
      <c r="I231" s="26">
        <v>188</v>
      </c>
      <c r="J231" s="26">
        <v>156.69999999999999</v>
      </c>
      <c r="K231" s="26">
        <v>162.30000000000001</v>
      </c>
      <c r="L231" s="26">
        <v>164.1</v>
      </c>
      <c r="M231" s="26">
        <v>119.7</v>
      </c>
      <c r="N231" s="26">
        <v>168.8</v>
      </c>
      <c r="O231" s="26">
        <v>162.69999999999999</v>
      </c>
      <c r="P231" s="26">
        <v>173.9</v>
      </c>
      <c r="Q231" s="26">
        <v>164</v>
      </c>
      <c r="R231" s="26">
        <v>192.1</v>
      </c>
      <c r="S231" s="26">
        <v>164.6</v>
      </c>
      <c r="T231" s="26">
        <v>155.30000000000001</v>
      </c>
      <c r="U231" s="26">
        <v>163.30000000000001</v>
      </c>
      <c r="V231" s="26">
        <v>162.1</v>
      </c>
      <c r="W231" s="26">
        <v>162.6</v>
      </c>
      <c r="X231" s="26">
        <v>157.5</v>
      </c>
      <c r="Y231" s="26">
        <v>168.4</v>
      </c>
      <c r="Z231" s="26">
        <v>154</v>
      </c>
      <c r="AA231" s="26">
        <v>157.69999999999999</v>
      </c>
      <c r="AB231" s="26">
        <v>163.69999999999999</v>
      </c>
      <c r="AC231" s="26">
        <v>160</v>
      </c>
      <c r="AD231" s="26">
        <v>160</v>
      </c>
      <c r="AE231" s="26">
        <v>163.19999999999999</v>
      </c>
      <c r="AF231" s="26">
        <v>2142</v>
      </c>
      <c r="AG231" s="26">
        <v>483.2</v>
      </c>
      <c r="AH231" s="26">
        <v>482.2</v>
      </c>
      <c r="AI231" s="26">
        <v>328.4</v>
      </c>
      <c r="AJ231" s="26">
        <v>317.7</v>
      </c>
      <c r="AK231" s="26">
        <v>4263.3</v>
      </c>
    </row>
    <row r="232" spans="1:37" x14ac:dyDescent="0.25">
      <c r="A232" t="s">
        <v>35</v>
      </c>
      <c r="B232">
        <v>2021</v>
      </c>
      <c r="C232" t="s">
        <v>44</v>
      </c>
      <c r="D232" s="25">
        <v>44470</v>
      </c>
      <c r="E232" s="26">
        <v>147.4</v>
      </c>
      <c r="F232" s="26">
        <v>204.6</v>
      </c>
      <c r="G232" s="26">
        <v>171.2</v>
      </c>
      <c r="H232" s="26">
        <v>158.69999999999999</v>
      </c>
      <c r="I232" s="26">
        <v>190.6</v>
      </c>
      <c r="J232" s="26">
        <v>155.69999999999999</v>
      </c>
      <c r="K232" s="26">
        <v>185.3</v>
      </c>
      <c r="L232" s="26">
        <v>165.2</v>
      </c>
      <c r="M232" s="26">
        <v>121.9</v>
      </c>
      <c r="N232" s="26">
        <v>169.3</v>
      </c>
      <c r="O232" s="26">
        <v>163.19999999999999</v>
      </c>
      <c r="P232" s="26">
        <v>174.7</v>
      </c>
      <c r="Q232" s="26">
        <v>167.7</v>
      </c>
      <c r="R232" s="26">
        <v>192.7</v>
      </c>
      <c r="S232" s="26">
        <v>165.7</v>
      </c>
      <c r="T232" s="26">
        <v>156.30000000000001</v>
      </c>
      <c r="U232" s="26">
        <v>164.3</v>
      </c>
      <c r="V232" s="26">
        <v>163.6</v>
      </c>
      <c r="W232" s="26">
        <v>164.2</v>
      </c>
      <c r="X232" s="26">
        <v>158.4</v>
      </c>
      <c r="Y232" s="26">
        <v>169.1</v>
      </c>
      <c r="Z232" s="26">
        <v>155.69999999999999</v>
      </c>
      <c r="AA232" s="26">
        <v>158.6</v>
      </c>
      <c r="AB232" s="26">
        <v>163.9</v>
      </c>
      <c r="AC232" s="26">
        <v>160.80000000000001</v>
      </c>
      <c r="AD232" s="26">
        <v>161</v>
      </c>
      <c r="AE232" s="26">
        <v>165.5</v>
      </c>
      <c r="AF232" s="26">
        <v>2175.5</v>
      </c>
      <c r="AG232" s="26">
        <v>486.3</v>
      </c>
      <c r="AH232" s="26">
        <v>486.19999999999993</v>
      </c>
      <c r="AI232" s="26">
        <v>329.9</v>
      </c>
      <c r="AJ232" s="26">
        <v>319.60000000000002</v>
      </c>
      <c r="AK232" s="26">
        <v>4309.8</v>
      </c>
    </row>
    <row r="233" spans="1:37" x14ac:dyDescent="0.25">
      <c r="A233" t="s">
        <v>35</v>
      </c>
      <c r="B233">
        <v>2021</v>
      </c>
      <c r="C233" t="s">
        <v>46</v>
      </c>
      <c r="D233" s="25">
        <v>44501</v>
      </c>
      <c r="E233" s="26">
        <v>148.19999999999999</v>
      </c>
      <c r="F233" s="26">
        <v>201.6</v>
      </c>
      <c r="G233" s="26">
        <v>173</v>
      </c>
      <c r="H233" s="26">
        <v>159.30000000000001</v>
      </c>
      <c r="I233" s="26">
        <v>190.1</v>
      </c>
      <c r="J233" s="26">
        <v>156.5</v>
      </c>
      <c r="K233" s="26">
        <v>199.2</v>
      </c>
      <c r="L233" s="26">
        <v>165.3</v>
      </c>
      <c r="M233" s="26">
        <v>122.4</v>
      </c>
      <c r="N233" s="26">
        <v>169.6</v>
      </c>
      <c r="O233" s="26">
        <v>163.69999999999999</v>
      </c>
      <c r="P233" s="26">
        <v>175.5</v>
      </c>
      <c r="Q233" s="26">
        <v>169.7</v>
      </c>
      <c r="R233" s="26">
        <v>192.9</v>
      </c>
      <c r="S233" s="26">
        <v>167.2</v>
      </c>
      <c r="T233" s="26">
        <v>157.4</v>
      </c>
      <c r="U233" s="26">
        <v>165.8</v>
      </c>
      <c r="V233" s="26">
        <v>164.2</v>
      </c>
      <c r="W233" s="26">
        <v>163.9</v>
      </c>
      <c r="X233" s="26">
        <v>159.30000000000001</v>
      </c>
      <c r="Y233" s="26">
        <v>169.9</v>
      </c>
      <c r="Z233" s="26">
        <v>154.80000000000001</v>
      </c>
      <c r="AA233" s="26">
        <v>159.80000000000001</v>
      </c>
      <c r="AB233" s="26">
        <v>164.3</v>
      </c>
      <c r="AC233" s="26">
        <v>162.19999999999999</v>
      </c>
      <c r="AD233" s="26">
        <v>161.4</v>
      </c>
      <c r="AE233" s="26">
        <v>166.7</v>
      </c>
      <c r="AF233" s="26">
        <v>2194.1</v>
      </c>
      <c r="AG233" s="26">
        <v>490.40000000000003</v>
      </c>
      <c r="AH233" s="26">
        <v>487.40000000000003</v>
      </c>
      <c r="AI233" s="26">
        <v>332.1</v>
      </c>
      <c r="AJ233" s="26">
        <v>321.20000000000005</v>
      </c>
      <c r="AK233" s="26">
        <v>4337.2</v>
      </c>
    </row>
    <row r="234" spans="1:37" x14ac:dyDescent="0.25">
      <c r="A234" t="s">
        <v>35</v>
      </c>
      <c r="B234">
        <v>2021</v>
      </c>
      <c r="C234" t="s">
        <v>47</v>
      </c>
      <c r="D234" s="25">
        <v>44531</v>
      </c>
      <c r="E234" s="26">
        <v>148.69999999999999</v>
      </c>
      <c r="F234" s="26">
        <v>198.8</v>
      </c>
      <c r="G234" s="26">
        <v>177.9</v>
      </c>
      <c r="H234" s="26">
        <v>159.9</v>
      </c>
      <c r="I234" s="26">
        <v>187.6</v>
      </c>
      <c r="J234" s="26">
        <v>154.9</v>
      </c>
      <c r="K234" s="26">
        <v>188.3</v>
      </c>
      <c r="L234" s="26">
        <v>164.4</v>
      </c>
      <c r="M234" s="26">
        <v>121</v>
      </c>
      <c r="N234" s="26">
        <v>170.5</v>
      </c>
      <c r="O234" s="26">
        <v>164.2</v>
      </c>
      <c r="P234" s="26">
        <v>176.5</v>
      </c>
      <c r="Q234" s="26">
        <v>168.2</v>
      </c>
      <c r="R234" s="26">
        <v>192.4</v>
      </c>
      <c r="S234" s="26">
        <v>168.5</v>
      </c>
      <c r="T234" s="26">
        <v>158.69999999999999</v>
      </c>
      <c r="U234" s="26">
        <v>167</v>
      </c>
      <c r="V234" s="26">
        <v>163.4</v>
      </c>
      <c r="W234" s="26">
        <v>164.1</v>
      </c>
      <c r="X234" s="26">
        <v>160.19999999999999</v>
      </c>
      <c r="Y234" s="26">
        <v>170.6</v>
      </c>
      <c r="Z234" s="26">
        <v>155.69999999999999</v>
      </c>
      <c r="AA234" s="26">
        <v>160.6</v>
      </c>
      <c r="AB234" s="26">
        <v>164.4</v>
      </c>
      <c r="AC234" s="26">
        <v>162.6</v>
      </c>
      <c r="AD234" s="26">
        <v>162</v>
      </c>
      <c r="AE234" s="26">
        <v>166.2</v>
      </c>
      <c r="AF234" s="26">
        <v>2180.9</v>
      </c>
      <c r="AG234" s="26">
        <v>494.2</v>
      </c>
      <c r="AH234" s="26">
        <v>487.7</v>
      </c>
      <c r="AI234" s="26">
        <v>333.2</v>
      </c>
      <c r="AJ234" s="26">
        <v>322.60000000000002</v>
      </c>
      <c r="AK234" s="26">
        <v>4331.0999999999995</v>
      </c>
    </row>
    <row r="235" spans="1:37" x14ac:dyDescent="0.25">
      <c r="A235" t="s">
        <v>35</v>
      </c>
      <c r="B235">
        <v>2022</v>
      </c>
      <c r="C235" t="s">
        <v>32</v>
      </c>
      <c r="D235" s="25">
        <v>44562</v>
      </c>
      <c r="E235" s="26">
        <v>149.5</v>
      </c>
      <c r="F235" s="26">
        <v>198.7</v>
      </c>
      <c r="G235" s="26">
        <v>178.8</v>
      </c>
      <c r="H235" s="26">
        <v>160.5</v>
      </c>
      <c r="I235" s="26">
        <v>184.7</v>
      </c>
      <c r="J235" s="26">
        <v>153.69999999999999</v>
      </c>
      <c r="K235" s="26">
        <v>174.3</v>
      </c>
      <c r="L235" s="26">
        <v>163.9</v>
      </c>
      <c r="M235" s="26">
        <v>120</v>
      </c>
      <c r="N235" s="26">
        <v>172.1</v>
      </c>
      <c r="O235" s="26">
        <v>164.3</v>
      </c>
      <c r="P235" s="26">
        <v>177.3</v>
      </c>
      <c r="Q235" s="26">
        <v>166.4</v>
      </c>
      <c r="R235" s="26">
        <v>192.2</v>
      </c>
      <c r="S235" s="26">
        <v>169.9</v>
      </c>
      <c r="T235" s="26">
        <v>160.69999999999999</v>
      </c>
      <c r="U235" s="26">
        <v>168.5</v>
      </c>
      <c r="V235" s="26">
        <v>164.5</v>
      </c>
      <c r="W235" s="26">
        <v>164.2</v>
      </c>
      <c r="X235" s="26">
        <v>161.1</v>
      </c>
      <c r="Y235" s="26">
        <v>171.4</v>
      </c>
      <c r="Z235" s="26">
        <v>156.5</v>
      </c>
      <c r="AA235" s="26">
        <v>161.19999999999999</v>
      </c>
      <c r="AB235" s="26">
        <v>164.7</v>
      </c>
      <c r="AC235" s="26">
        <v>163</v>
      </c>
      <c r="AD235" s="26">
        <v>162.69999999999999</v>
      </c>
      <c r="AE235" s="26">
        <v>165.7</v>
      </c>
      <c r="AF235" s="26">
        <v>2164.1999999999998</v>
      </c>
      <c r="AG235" s="26">
        <v>499.1</v>
      </c>
      <c r="AH235" s="26">
        <v>489.79999999999995</v>
      </c>
      <c r="AI235" s="26">
        <v>334.4</v>
      </c>
      <c r="AJ235" s="26">
        <v>323.89999999999998</v>
      </c>
      <c r="AK235" s="26">
        <v>4324.8</v>
      </c>
    </row>
    <row r="236" spans="1:37" x14ac:dyDescent="0.25">
      <c r="A236" t="s">
        <v>35</v>
      </c>
      <c r="B236">
        <v>2022</v>
      </c>
      <c r="C236" t="s">
        <v>36</v>
      </c>
      <c r="D236" s="25">
        <v>44593</v>
      </c>
      <c r="E236" s="26">
        <v>150</v>
      </c>
      <c r="F236" s="26">
        <v>200.6</v>
      </c>
      <c r="G236" s="26">
        <v>175.8</v>
      </c>
      <c r="H236" s="26">
        <v>160.69999999999999</v>
      </c>
      <c r="I236" s="26">
        <v>184.9</v>
      </c>
      <c r="J236" s="26">
        <v>153.69999999999999</v>
      </c>
      <c r="K236" s="26">
        <v>169.7</v>
      </c>
      <c r="L236" s="26">
        <v>163.69999999999999</v>
      </c>
      <c r="M236" s="26">
        <v>118.9</v>
      </c>
      <c r="N236" s="26">
        <v>174.3</v>
      </c>
      <c r="O236" s="26">
        <v>164.7</v>
      </c>
      <c r="P236" s="26">
        <v>178</v>
      </c>
      <c r="Q236" s="26">
        <v>166.2</v>
      </c>
      <c r="R236" s="26">
        <v>192.8</v>
      </c>
      <c r="S236" s="26">
        <v>170.8</v>
      </c>
      <c r="T236" s="26">
        <v>162.4</v>
      </c>
      <c r="U236" s="26">
        <v>169.6</v>
      </c>
      <c r="V236" s="26">
        <v>165.5</v>
      </c>
      <c r="W236" s="26">
        <v>165.7</v>
      </c>
      <c r="X236" s="26">
        <v>161.80000000000001</v>
      </c>
      <c r="Y236" s="26">
        <v>172.2</v>
      </c>
      <c r="Z236" s="26">
        <v>156.9</v>
      </c>
      <c r="AA236" s="26">
        <v>162.1</v>
      </c>
      <c r="AB236" s="26">
        <v>165.4</v>
      </c>
      <c r="AC236" s="26">
        <v>164.4</v>
      </c>
      <c r="AD236" s="26">
        <v>163.5</v>
      </c>
      <c r="AE236" s="26">
        <v>166.1</v>
      </c>
      <c r="AF236" s="26">
        <v>2161.2000000000003</v>
      </c>
      <c r="AG236" s="26">
        <v>502.80000000000007</v>
      </c>
      <c r="AH236" s="26">
        <v>493</v>
      </c>
      <c r="AI236" s="26">
        <v>336.6</v>
      </c>
      <c r="AJ236" s="26">
        <v>325.60000000000002</v>
      </c>
      <c r="AK236" s="26">
        <v>4334.3</v>
      </c>
    </row>
    <row r="237" spans="1:37" x14ac:dyDescent="0.25">
      <c r="A237" t="s">
        <v>35</v>
      </c>
      <c r="B237">
        <v>2022</v>
      </c>
      <c r="C237" t="s">
        <v>37</v>
      </c>
      <c r="D237" s="25">
        <v>44621</v>
      </c>
      <c r="E237" s="26">
        <v>151.30000000000001</v>
      </c>
      <c r="F237" s="26">
        <v>210.7</v>
      </c>
      <c r="G237" s="26">
        <v>167.8</v>
      </c>
      <c r="H237" s="26">
        <v>162.19999999999999</v>
      </c>
      <c r="I237" s="26">
        <v>194.6</v>
      </c>
      <c r="J237" s="26">
        <v>157.6</v>
      </c>
      <c r="K237" s="26">
        <v>166.9</v>
      </c>
      <c r="L237" s="26">
        <v>163.9</v>
      </c>
      <c r="M237" s="26">
        <v>118.8</v>
      </c>
      <c r="N237" s="26">
        <v>177.4</v>
      </c>
      <c r="O237" s="26">
        <v>165.3</v>
      </c>
      <c r="P237" s="26">
        <v>179.3</v>
      </c>
      <c r="Q237" s="26">
        <v>168.4</v>
      </c>
      <c r="R237" s="26">
        <v>193.7</v>
      </c>
      <c r="S237" s="26">
        <v>172.1</v>
      </c>
      <c r="T237" s="26">
        <v>164.6</v>
      </c>
      <c r="U237" s="26">
        <v>171.1</v>
      </c>
      <c r="V237" s="26">
        <v>165.3</v>
      </c>
      <c r="W237" s="26">
        <v>167.2</v>
      </c>
      <c r="X237" s="26">
        <v>162.80000000000001</v>
      </c>
      <c r="Y237" s="26">
        <v>173</v>
      </c>
      <c r="Z237" s="26">
        <v>157.9</v>
      </c>
      <c r="AA237" s="26">
        <v>163.30000000000001</v>
      </c>
      <c r="AB237" s="26">
        <v>166</v>
      </c>
      <c r="AC237" s="26">
        <v>167.2</v>
      </c>
      <c r="AD237" s="26">
        <v>164.6</v>
      </c>
      <c r="AE237" s="26">
        <v>167.7</v>
      </c>
      <c r="AF237" s="26">
        <v>2184.2000000000003</v>
      </c>
      <c r="AG237" s="26">
        <v>507.79999999999995</v>
      </c>
      <c r="AH237" s="26">
        <v>495.3</v>
      </c>
      <c r="AI237" s="26">
        <v>340.2</v>
      </c>
      <c r="AJ237" s="26">
        <v>327.9</v>
      </c>
      <c r="AK237" s="26">
        <v>4373</v>
      </c>
    </row>
    <row r="238" spans="1:37" x14ac:dyDescent="0.25">
      <c r="A238" t="s">
        <v>35</v>
      </c>
      <c r="B238">
        <v>2022</v>
      </c>
      <c r="C238" t="s">
        <v>38</v>
      </c>
      <c r="D238" s="25">
        <v>44652</v>
      </c>
      <c r="E238" s="26">
        <v>152.9</v>
      </c>
      <c r="F238" s="26">
        <v>211.8</v>
      </c>
      <c r="G238" s="26">
        <v>164.5</v>
      </c>
      <c r="H238" s="26">
        <v>163.9</v>
      </c>
      <c r="I238" s="26">
        <v>199.5</v>
      </c>
      <c r="J238" s="26">
        <v>172.6</v>
      </c>
      <c r="K238" s="26">
        <v>166.2</v>
      </c>
      <c r="L238" s="26">
        <v>164.7</v>
      </c>
      <c r="M238" s="26">
        <v>119</v>
      </c>
      <c r="N238" s="26">
        <v>181.3</v>
      </c>
      <c r="O238" s="26">
        <v>166.2</v>
      </c>
      <c r="P238" s="26">
        <v>180.9</v>
      </c>
      <c r="Q238" s="26">
        <v>170.8</v>
      </c>
      <c r="R238" s="26">
        <v>193.9</v>
      </c>
      <c r="S238" s="26">
        <v>173.9</v>
      </c>
      <c r="T238" s="26">
        <v>166.5</v>
      </c>
      <c r="U238" s="26">
        <v>172.8</v>
      </c>
      <c r="V238" s="26">
        <v>167</v>
      </c>
      <c r="W238" s="26">
        <v>172.2</v>
      </c>
      <c r="X238" s="26">
        <v>164</v>
      </c>
      <c r="Y238" s="26">
        <v>174</v>
      </c>
      <c r="Z238" s="26">
        <v>162.6</v>
      </c>
      <c r="AA238" s="26">
        <v>164.4</v>
      </c>
      <c r="AB238" s="26">
        <v>166.9</v>
      </c>
      <c r="AC238" s="26">
        <v>168.8</v>
      </c>
      <c r="AD238" s="26">
        <v>166.8</v>
      </c>
      <c r="AE238" s="26">
        <v>170.1</v>
      </c>
      <c r="AF238" s="26">
        <v>2214.3000000000002</v>
      </c>
      <c r="AG238" s="26">
        <v>513.20000000000005</v>
      </c>
      <c r="AH238" s="26">
        <v>503.2</v>
      </c>
      <c r="AI238" s="26">
        <v>342.8</v>
      </c>
      <c r="AJ238" s="26">
        <v>331.20000000000005</v>
      </c>
      <c r="AK238" s="26">
        <v>4428.1000000000004</v>
      </c>
    </row>
    <row r="239" spans="1:37" x14ac:dyDescent="0.25">
      <c r="A239" t="s">
        <v>35</v>
      </c>
      <c r="B239">
        <v>2022</v>
      </c>
      <c r="C239" t="s">
        <v>39</v>
      </c>
      <c r="D239" s="25">
        <v>44682</v>
      </c>
      <c r="E239" s="26">
        <v>154.1</v>
      </c>
      <c r="F239" s="26">
        <v>217</v>
      </c>
      <c r="G239" s="26">
        <v>162.4</v>
      </c>
      <c r="H239" s="26">
        <v>164.9</v>
      </c>
      <c r="I239" s="26">
        <v>202.4</v>
      </c>
      <c r="J239" s="26">
        <v>171</v>
      </c>
      <c r="K239" s="26">
        <v>174.9</v>
      </c>
      <c r="L239" s="26">
        <v>164.7</v>
      </c>
      <c r="M239" s="26">
        <v>119.7</v>
      </c>
      <c r="N239" s="26">
        <v>184.9</v>
      </c>
      <c r="O239" s="26">
        <v>167.1</v>
      </c>
      <c r="P239" s="26">
        <v>182.5</v>
      </c>
      <c r="Q239" s="26">
        <v>173.3</v>
      </c>
      <c r="R239" s="26">
        <v>194.1</v>
      </c>
      <c r="S239" s="26">
        <v>175.6</v>
      </c>
      <c r="T239" s="26">
        <v>168.4</v>
      </c>
      <c r="U239" s="26">
        <v>174.6</v>
      </c>
      <c r="V239" s="26">
        <v>167.5</v>
      </c>
      <c r="W239" s="26">
        <v>174.6</v>
      </c>
      <c r="X239" s="26">
        <v>165.2</v>
      </c>
      <c r="Y239" s="26">
        <v>174.8</v>
      </c>
      <c r="Z239" s="26">
        <v>163</v>
      </c>
      <c r="AA239" s="26">
        <v>165.1</v>
      </c>
      <c r="AB239" s="26">
        <v>167.9</v>
      </c>
      <c r="AC239" s="26">
        <v>168.4</v>
      </c>
      <c r="AD239" s="26">
        <v>167.5</v>
      </c>
      <c r="AE239" s="26">
        <v>171.7</v>
      </c>
      <c r="AF239" s="26">
        <v>2238.9000000000005</v>
      </c>
      <c r="AG239" s="26">
        <v>518.6</v>
      </c>
      <c r="AH239" s="26">
        <v>507.3</v>
      </c>
      <c r="AI239" s="26">
        <v>343.20000000000005</v>
      </c>
      <c r="AJ239" s="26">
        <v>332.6</v>
      </c>
      <c r="AK239" s="26">
        <v>4465.6000000000013</v>
      </c>
    </row>
    <row r="240" spans="1:37" x14ac:dyDescent="0.25">
      <c r="A240" t="s">
        <v>35</v>
      </c>
      <c r="B240">
        <v>2022</v>
      </c>
      <c r="C240" t="s">
        <v>40</v>
      </c>
      <c r="D240" s="25">
        <v>44713</v>
      </c>
      <c r="E240" s="26">
        <v>155</v>
      </c>
      <c r="F240" s="26">
        <v>219.4</v>
      </c>
      <c r="G240" s="26">
        <v>170.8</v>
      </c>
      <c r="H240" s="26">
        <v>165.8</v>
      </c>
      <c r="I240" s="26">
        <v>200.9</v>
      </c>
      <c r="J240" s="26">
        <v>169.7</v>
      </c>
      <c r="K240" s="26">
        <v>182.3</v>
      </c>
      <c r="L240" s="26">
        <v>164.3</v>
      </c>
      <c r="M240" s="26">
        <v>119.9</v>
      </c>
      <c r="N240" s="26">
        <v>187.1</v>
      </c>
      <c r="O240" s="26">
        <v>167.9</v>
      </c>
      <c r="P240" s="26">
        <v>183.9</v>
      </c>
      <c r="Q240" s="26">
        <v>174.9</v>
      </c>
      <c r="R240" s="26">
        <v>194.3</v>
      </c>
      <c r="S240" s="26">
        <v>177.1</v>
      </c>
      <c r="T240" s="26">
        <v>169.9</v>
      </c>
      <c r="U240" s="26">
        <v>176</v>
      </c>
      <c r="V240" s="26">
        <v>166.8</v>
      </c>
      <c r="W240" s="26">
        <v>176</v>
      </c>
      <c r="X240" s="26">
        <v>166.4</v>
      </c>
      <c r="Y240" s="26">
        <v>175.4</v>
      </c>
      <c r="Z240" s="26">
        <v>161.1</v>
      </c>
      <c r="AA240" s="26">
        <v>165.8</v>
      </c>
      <c r="AB240" s="26">
        <v>169</v>
      </c>
      <c r="AC240" s="26">
        <v>169.4</v>
      </c>
      <c r="AD240" s="26">
        <v>167.5</v>
      </c>
      <c r="AE240" s="26">
        <v>172.6</v>
      </c>
      <c r="AF240" s="26">
        <v>2261.9</v>
      </c>
      <c r="AG240" s="26">
        <v>523</v>
      </c>
      <c r="AH240" s="26">
        <v>509.20000000000005</v>
      </c>
      <c r="AI240" s="26">
        <v>344.8</v>
      </c>
      <c r="AJ240" s="26">
        <v>333.3</v>
      </c>
      <c r="AK240" s="26">
        <v>4496.6000000000004</v>
      </c>
    </row>
    <row r="241" spans="1:37" x14ac:dyDescent="0.25">
      <c r="A241" t="s">
        <v>35</v>
      </c>
      <c r="B241">
        <v>2022</v>
      </c>
      <c r="C241" t="s">
        <v>41</v>
      </c>
      <c r="D241" s="25">
        <v>44743</v>
      </c>
      <c r="E241" s="26">
        <v>156.5</v>
      </c>
      <c r="F241" s="26">
        <v>213</v>
      </c>
      <c r="G241" s="26">
        <v>175.2</v>
      </c>
      <c r="H241" s="26">
        <v>166.6</v>
      </c>
      <c r="I241" s="26">
        <v>195.8</v>
      </c>
      <c r="J241" s="26">
        <v>174.2</v>
      </c>
      <c r="K241" s="26">
        <v>182.1</v>
      </c>
      <c r="L241" s="26">
        <v>164.3</v>
      </c>
      <c r="M241" s="26">
        <v>120</v>
      </c>
      <c r="N241" s="26">
        <v>190</v>
      </c>
      <c r="O241" s="26">
        <v>168.4</v>
      </c>
      <c r="P241" s="26">
        <v>185.2</v>
      </c>
      <c r="Q241" s="26">
        <v>175</v>
      </c>
      <c r="R241" s="26">
        <v>194.6</v>
      </c>
      <c r="S241" s="26">
        <v>178.3</v>
      </c>
      <c r="T241" s="26">
        <v>171.3</v>
      </c>
      <c r="U241" s="26">
        <v>177.3</v>
      </c>
      <c r="V241" s="26">
        <v>167.8</v>
      </c>
      <c r="W241" s="26">
        <v>179.6</v>
      </c>
      <c r="X241" s="26">
        <v>167.4</v>
      </c>
      <c r="Y241" s="26">
        <v>176.1</v>
      </c>
      <c r="Z241" s="26">
        <v>161.6</v>
      </c>
      <c r="AA241" s="26">
        <v>166.3</v>
      </c>
      <c r="AB241" s="26">
        <v>171.4</v>
      </c>
      <c r="AC241" s="26">
        <v>169.7</v>
      </c>
      <c r="AD241" s="26">
        <v>168.4</v>
      </c>
      <c r="AE241" s="26">
        <v>173.4</v>
      </c>
      <c r="AF241" s="26">
        <v>2266.3000000000002</v>
      </c>
      <c r="AG241" s="26">
        <v>526.90000000000009</v>
      </c>
      <c r="AH241" s="26">
        <v>514.79999999999995</v>
      </c>
      <c r="AI241" s="26">
        <v>345.79999999999995</v>
      </c>
      <c r="AJ241" s="26">
        <v>334.70000000000005</v>
      </c>
      <c r="AK241" s="26">
        <v>4516.1000000000004</v>
      </c>
    </row>
    <row r="242" spans="1:37" x14ac:dyDescent="0.25">
      <c r="A242" t="s">
        <v>35</v>
      </c>
      <c r="B242">
        <v>2022</v>
      </c>
      <c r="C242" t="s">
        <v>42</v>
      </c>
      <c r="D242" s="25">
        <v>44774</v>
      </c>
      <c r="E242" s="26">
        <v>160.30000000000001</v>
      </c>
      <c r="F242" s="26">
        <v>206.5</v>
      </c>
      <c r="G242" s="26">
        <v>169.2</v>
      </c>
      <c r="H242" s="26">
        <v>168.1</v>
      </c>
      <c r="I242" s="26">
        <v>192.4</v>
      </c>
      <c r="J242" s="26">
        <v>172.9</v>
      </c>
      <c r="K242" s="26">
        <v>186.7</v>
      </c>
      <c r="L242" s="26">
        <v>167.2</v>
      </c>
      <c r="M242" s="26">
        <v>120.9</v>
      </c>
      <c r="N242" s="26">
        <v>193.6</v>
      </c>
      <c r="O242" s="26">
        <v>168.8</v>
      </c>
      <c r="P242" s="26">
        <v>186.3</v>
      </c>
      <c r="Q242" s="26">
        <v>176.3</v>
      </c>
      <c r="R242" s="26">
        <v>195</v>
      </c>
      <c r="S242" s="26">
        <v>179.5</v>
      </c>
      <c r="T242" s="26">
        <v>172.7</v>
      </c>
      <c r="U242" s="26">
        <v>178.5</v>
      </c>
      <c r="V242" s="26">
        <v>169</v>
      </c>
      <c r="W242" s="26">
        <v>178.8</v>
      </c>
      <c r="X242" s="26">
        <v>168.5</v>
      </c>
      <c r="Y242" s="26">
        <v>176.8</v>
      </c>
      <c r="Z242" s="26">
        <v>161.9</v>
      </c>
      <c r="AA242" s="26">
        <v>166.9</v>
      </c>
      <c r="AB242" s="26">
        <v>172.3</v>
      </c>
      <c r="AC242" s="26">
        <v>171.2</v>
      </c>
      <c r="AD242" s="26">
        <v>169.1</v>
      </c>
      <c r="AE242" s="26">
        <v>174.3</v>
      </c>
      <c r="AF242" s="26">
        <v>2269.2000000000003</v>
      </c>
      <c r="AG242" s="26">
        <v>530.70000000000005</v>
      </c>
      <c r="AH242" s="26">
        <v>516.29999999999995</v>
      </c>
      <c r="AI242" s="26">
        <v>348</v>
      </c>
      <c r="AJ242" s="26">
        <v>336</v>
      </c>
      <c r="AK242" s="26">
        <v>4529.4000000000005</v>
      </c>
    </row>
    <row r="243" spans="1:37" x14ac:dyDescent="0.25">
      <c r="A243" t="s">
        <v>35</v>
      </c>
      <c r="B243">
        <v>2022</v>
      </c>
      <c r="C243" t="s">
        <v>43</v>
      </c>
      <c r="D243" s="25">
        <v>44805</v>
      </c>
      <c r="E243" s="26">
        <v>163.5</v>
      </c>
      <c r="F243" s="26">
        <v>209.2</v>
      </c>
      <c r="G243" s="26">
        <v>169.7</v>
      </c>
      <c r="H243" s="26">
        <v>169.7</v>
      </c>
      <c r="I243" s="26">
        <v>188.7</v>
      </c>
      <c r="J243" s="26">
        <v>165.7</v>
      </c>
      <c r="K243" s="26">
        <v>191.8</v>
      </c>
      <c r="L243" s="26">
        <v>169.1</v>
      </c>
      <c r="M243" s="26">
        <v>121.6</v>
      </c>
      <c r="N243" s="26">
        <v>197.3</v>
      </c>
      <c r="O243" s="26">
        <v>169.4</v>
      </c>
      <c r="P243" s="26">
        <v>187.4</v>
      </c>
      <c r="Q243" s="26">
        <v>177.8</v>
      </c>
      <c r="R243" s="26">
        <v>195.9</v>
      </c>
      <c r="S243" s="26">
        <v>180.9</v>
      </c>
      <c r="T243" s="26">
        <v>174.3</v>
      </c>
      <c r="U243" s="26">
        <v>179.9</v>
      </c>
      <c r="V243" s="26">
        <v>169.5</v>
      </c>
      <c r="W243" s="26">
        <v>179.5</v>
      </c>
      <c r="X243" s="26">
        <v>169.5</v>
      </c>
      <c r="Y243" s="26">
        <v>177.8</v>
      </c>
      <c r="Z243" s="26">
        <v>162.30000000000001</v>
      </c>
      <c r="AA243" s="26">
        <v>167.6</v>
      </c>
      <c r="AB243" s="26">
        <v>173.1</v>
      </c>
      <c r="AC243" s="26">
        <v>170.9</v>
      </c>
      <c r="AD243" s="26">
        <v>169.7</v>
      </c>
      <c r="AE243" s="26">
        <v>175.3</v>
      </c>
      <c r="AF243" s="26">
        <v>2280.9</v>
      </c>
      <c r="AG243" s="26">
        <v>535.1</v>
      </c>
      <c r="AH243" s="26">
        <v>518.5</v>
      </c>
      <c r="AI243" s="26">
        <v>348.70000000000005</v>
      </c>
      <c r="AJ243" s="26">
        <v>337.29999999999995</v>
      </c>
      <c r="AK243" s="26">
        <v>4551.8</v>
      </c>
    </row>
    <row r="244" spans="1:37" x14ac:dyDescent="0.25">
      <c r="A244" t="s">
        <v>35</v>
      </c>
      <c r="B244">
        <v>2022</v>
      </c>
      <c r="C244" t="s">
        <v>44</v>
      </c>
      <c r="D244" s="25">
        <v>44835</v>
      </c>
      <c r="E244" s="26">
        <v>165.2</v>
      </c>
      <c r="F244" s="26">
        <v>210.9</v>
      </c>
      <c r="G244" s="26">
        <v>170.9</v>
      </c>
      <c r="H244" s="26">
        <v>170.9</v>
      </c>
      <c r="I244" s="26">
        <v>186.5</v>
      </c>
      <c r="J244" s="26">
        <v>163.80000000000001</v>
      </c>
      <c r="K244" s="26">
        <v>199.7</v>
      </c>
      <c r="L244" s="26">
        <v>169.8</v>
      </c>
      <c r="M244" s="26">
        <v>121.9</v>
      </c>
      <c r="N244" s="26">
        <v>199.9</v>
      </c>
      <c r="O244" s="26">
        <v>169.9</v>
      </c>
      <c r="P244" s="26">
        <v>188.3</v>
      </c>
      <c r="Q244" s="26">
        <v>179.6</v>
      </c>
      <c r="R244" s="26">
        <v>196.3</v>
      </c>
      <c r="S244" s="26">
        <v>181.9</v>
      </c>
      <c r="T244" s="26">
        <v>175.3</v>
      </c>
      <c r="U244" s="26">
        <v>181</v>
      </c>
      <c r="V244" s="26">
        <v>171.2</v>
      </c>
      <c r="W244" s="26">
        <v>180.5</v>
      </c>
      <c r="X244" s="26">
        <v>170.4</v>
      </c>
      <c r="Y244" s="26">
        <v>178.7</v>
      </c>
      <c r="Z244" s="26">
        <v>162.9</v>
      </c>
      <c r="AA244" s="26">
        <v>168.2</v>
      </c>
      <c r="AB244" s="26">
        <v>173.4</v>
      </c>
      <c r="AC244" s="26">
        <v>172.1</v>
      </c>
      <c r="AD244" s="26">
        <v>170.5</v>
      </c>
      <c r="AE244" s="26">
        <v>176.7</v>
      </c>
      <c r="AF244" s="26">
        <v>2297.3000000000002</v>
      </c>
      <c r="AG244" s="26">
        <v>538.20000000000005</v>
      </c>
      <c r="AH244" s="26">
        <v>522.1</v>
      </c>
      <c r="AI244" s="26">
        <v>350.79999999999995</v>
      </c>
      <c r="AJ244" s="26">
        <v>338.7</v>
      </c>
      <c r="AK244" s="26">
        <v>4579.7</v>
      </c>
    </row>
    <row r="245" spans="1:37" x14ac:dyDescent="0.25">
      <c r="A245" t="s">
        <v>35</v>
      </c>
      <c r="B245">
        <v>2022</v>
      </c>
      <c r="C245" t="s">
        <v>46</v>
      </c>
      <c r="D245" s="25">
        <v>44866</v>
      </c>
      <c r="E245" s="26">
        <v>167.4</v>
      </c>
      <c r="F245" s="26">
        <v>209.4</v>
      </c>
      <c r="G245" s="26">
        <v>181.4</v>
      </c>
      <c r="H245" s="26">
        <v>172.3</v>
      </c>
      <c r="I245" s="26">
        <v>188.9</v>
      </c>
      <c r="J245" s="26">
        <v>160.69999999999999</v>
      </c>
      <c r="K245" s="26">
        <v>183.1</v>
      </c>
      <c r="L245" s="26">
        <v>170.5</v>
      </c>
      <c r="M245" s="26">
        <v>122.1</v>
      </c>
      <c r="N245" s="26">
        <v>202.8</v>
      </c>
      <c r="O245" s="26">
        <v>170.4</v>
      </c>
      <c r="P245" s="26">
        <v>189.5</v>
      </c>
      <c r="Q245" s="26">
        <v>178.3</v>
      </c>
      <c r="R245" s="26">
        <v>196.9</v>
      </c>
      <c r="S245" s="26">
        <v>183.1</v>
      </c>
      <c r="T245" s="26">
        <v>176.2</v>
      </c>
      <c r="U245" s="26">
        <v>182.1</v>
      </c>
      <c r="V245" s="26">
        <v>171.8</v>
      </c>
      <c r="W245" s="26">
        <v>181.3</v>
      </c>
      <c r="X245" s="26">
        <v>171.4</v>
      </c>
      <c r="Y245" s="26">
        <v>179.8</v>
      </c>
      <c r="Z245" s="26">
        <v>163</v>
      </c>
      <c r="AA245" s="26">
        <v>168.5</v>
      </c>
      <c r="AB245" s="26">
        <v>173.7</v>
      </c>
      <c r="AC245" s="26">
        <v>173.6</v>
      </c>
      <c r="AD245" s="26">
        <v>171.1</v>
      </c>
      <c r="AE245" s="26">
        <v>176.5</v>
      </c>
      <c r="AF245" s="26">
        <v>2296.8000000000002</v>
      </c>
      <c r="AG245" s="26">
        <v>541.4</v>
      </c>
      <c r="AH245" s="26">
        <v>524.5</v>
      </c>
      <c r="AI245" s="26">
        <v>353.4</v>
      </c>
      <c r="AJ245" s="26">
        <v>339.6</v>
      </c>
      <c r="AK245" s="26">
        <v>4589.3</v>
      </c>
    </row>
    <row r="246" spans="1:37" x14ac:dyDescent="0.25">
      <c r="A246" t="s">
        <v>35</v>
      </c>
      <c r="B246">
        <v>2022</v>
      </c>
      <c r="C246" t="s">
        <v>47</v>
      </c>
      <c r="D246" s="25">
        <v>44896</v>
      </c>
      <c r="E246" s="26">
        <v>169.2</v>
      </c>
      <c r="F246" s="26">
        <v>209</v>
      </c>
      <c r="G246" s="26">
        <v>190.2</v>
      </c>
      <c r="H246" s="26">
        <v>173.6</v>
      </c>
      <c r="I246" s="26">
        <v>188.5</v>
      </c>
      <c r="J246" s="26">
        <v>158</v>
      </c>
      <c r="K246" s="26">
        <v>159.9</v>
      </c>
      <c r="L246" s="26">
        <v>170.8</v>
      </c>
      <c r="M246" s="26">
        <v>121.8</v>
      </c>
      <c r="N246" s="26">
        <v>205.2</v>
      </c>
      <c r="O246" s="26">
        <v>171</v>
      </c>
      <c r="P246" s="26">
        <v>190.3</v>
      </c>
      <c r="Q246" s="26">
        <v>175.9</v>
      </c>
      <c r="R246" s="26">
        <v>197.3</v>
      </c>
      <c r="S246" s="26">
        <v>184</v>
      </c>
      <c r="T246" s="26">
        <v>177</v>
      </c>
      <c r="U246" s="26">
        <v>183</v>
      </c>
      <c r="V246" s="26">
        <v>170.7</v>
      </c>
      <c r="W246" s="26">
        <v>182</v>
      </c>
      <c r="X246" s="26">
        <v>172.1</v>
      </c>
      <c r="Y246" s="26">
        <v>181.1</v>
      </c>
      <c r="Z246" s="26">
        <v>163.4</v>
      </c>
      <c r="AA246" s="26">
        <v>168.9</v>
      </c>
      <c r="AB246" s="26">
        <v>174.1</v>
      </c>
      <c r="AC246" s="26">
        <v>175.8</v>
      </c>
      <c r="AD246" s="26">
        <v>172</v>
      </c>
      <c r="AE246" s="26">
        <v>175.7</v>
      </c>
      <c r="AF246" s="26">
        <v>2283.4</v>
      </c>
      <c r="AG246" s="26">
        <v>544</v>
      </c>
      <c r="AH246" s="26">
        <v>524.79999999999995</v>
      </c>
      <c r="AI246" s="26">
        <v>356.9</v>
      </c>
      <c r="AJ246" s="26">
        <v>340.9</v>
      </c>
      <c r="AK246" s="26">
        <v>4584.7999999999993</v>
      </c>
    </row>
    <row r="247" spans="1:37" x14ac:dyDescent="0.25">
      <c r="A247" t="s">
        <v>35</v>
      </c>
      <c r="B247">
        <v>2023</v>
      </c>
      <c r="C247" t="s">
        <v>32</v>
      </c>
      <c r="D247" s="25">
        <v>44927</v>
      </c>
      <c r="E247" s="26">
        <v>173.8</v>
      </c>
      <c r="F247" s="26">
        <v>210.7</v>
      </c>
      <c r="G247" s="26">
        <v>194.5</v>
      </c>
      <c r="H247" s="26">
        <v>174.6</v>
      </c>
      <c r="I247" s="26">
        <v>187.2</v>
      </c>
      <c r="J247" s="26">
        <v>158.30000000000001</v>
      </c>
      <c r="K247" s="26">
        <v>153.9</v>
      </c>
      <c r="L247" s="26">
        <v>170.9</v>
      </c>
      <c r="M247" s="26">
        <v>121.1</v>
      </c>
      <c r="N247" s="26">
        <v>208.4</v>
      </c>
      <c r="O247" s="26">
        <v>171.4</v>
      </c>
      <c r="P247" s="26">
        <v>191.2</v>
      </c>
      <c r="Q247" s="26">
        <v>176.7</v>
      </c>
      <c r="R247" s="26">
        <v>198.2</v>
      </c>
      <c r="S247" s="26">
        <v>184.9</v>
      </c>
      <c r="T247" s="26">
        <v>177.6</v>
      </c>
      <c r="U247" s="26">
        <v>183.8</v>
      </c>
      <c r="V247" s="26">
        <v>172.1</v>
      </c>
      <c r="W247" s="26">
        <v>182</v>
      </c>
      <c r="X247" s="26">
        <v>172.9</v>
      </c>
      <c r="Y247" s="26">
        <v>182.3</v>
      </c>
      <c r="Z247" s="26">
        <v>163.6</v>
      </c>
      <c r="AA247" s="26">
        <v>169.5</v>
      </c>
      <c r="AB247" s="26">
        <v>174.3</v>
      </c>
      <c r="AC247" s="26">
        <v>178.6</v>
      </c>
      <c r="AD247" s="26">
        <v>172.8</v>
      </c>
      <c r="AE247" s="26">
        <v>176.5</v>
      </c>
      <c r="AF247" s="26">
        <v>2292.6999999999998</v>
      </c>
      <c r="AG247" s="26">
        <v>546.29999999999995</v>
      </c>
      <c r="AH247" s="26">
        <v>527</v>
      </c>
      <c r="AI247" s="26">
        <v>360.9</v>
      </c>
      <c r="AJ247" s="26">
        <v>342.3</v>
      </c>
      <c r="AK247" s="26">
        <v>4605.2999999999993</v>
      </c>
    </row>
    <row r="248" spans="1:37" x14ac:dyDescent="0.25">
      <c r="A248" t="s">
        <v>35</v>
      </c>
      <c r="B248">
        <v>2023</v>
      </c>
      <c r="C248" t="s">
        <v>36</v>
      </c>
      <c r="D248" s="25">
        <v>44958</v>
      </c>
      <c r="E248" s="26">
        <v>174.4</v>
      </c>
      <c r="F248" s="26">
        <v>207.7</v>
      </c>
      <c r="G248" s="26">
        <v>175.2</v>
      </c>
      <c r="H248" s="26">
        <v>177.3</v>
      </c>
      <c r="I248" s="26">
        <v>179.3</v>
      </c>
      <c r="J248" s="26">
        <v>169.5</v>
      </c>
      <c r="K248" s="26">
        <v>152.69999999999999</v>
      </c>
      <c r="L248" s="26">
        <v>171</v>
      </c>
      <c r="M248" s="26">
        <v>120</v>
      </c>
      <c r="N248" s="26">
        <v>209.7</v>
      </c>
      <c r="O248" s="26">
        <v>172.3</v>
      </c>
      <c r="P248" s="26">
        <v>193</v>
      </c>
      <c r="Q248" s="26">
        <v>177</v>
      </c>
      <c r="R248" s="26">
        <v>199.5</v>
      </c>
      <c r="S248" s="26">
        <v>186.2</v>
      </c>
      <c r="T248" s="26">
        <v>178.7</v>
      </c>
      <c r="U248" s="26">
        <v>185.1</v>
      </c>
      <c r="V248" s="26">
        <v>173.5</v>
      </c>
      <c r="W248" s="26">
        <v>182.1</v>
      </c>
      <c r="X248" s="26">
        <v>174.2</v>
      </c>
      <c r="Y248" s="26">
        <v>184.4</v>
      </c>
      <c r="Z248" s="26">
        <v>164.2</v>
      </c>
      <c r="AA248" s="26">
        <v>170.3</v>
      </c>
      <c r="AB248" s="26">
        <v>175</v>
      </c>
      <c r="AC248" s="26">
        <v>181</v>
      </c>
      <c r="AD248" s="26">
        <v>174.1</v>
      </c>
      <c r="AE248" s="26">
        <v>177.2</v>
      </c>
      <c r="AF248" s="26">
        <v>2279.1</v>
      </c>
      <c r="AG248" s="26">
        <v>550</v>
      </c>
      <c r="AH248" s="26">
        <v>529.79999999999995</v>
      </c>
      <c r="AI248" s="26">
        <v>365.4</v>
      </c>
      <c r="AJ248" s="26">
        <v>344.4</v>
      </c>
      <c r="AK248" s="26">
        <v>4607.3999999999996</v>
      </c>
    </row>
    <row r="249" spans="1:37" x14ac:dyDescent="0.25">
      <c r="A249" t="s">
        <v>35</v>
      </c>
      <c r="B249">
        <v>2023</v>
      </c>
      <c r="C249" t="s">
        <v>37</v>
      </c>
      <c r="D249" s="25">
        <v>44986</v>
      </c>
      <c r="E249" s="26">
        <v>174.4</v>
      </c>
      <c r="F249" s="26">
        <v>207.7</v>
      </c>
      <c r="G249" s="26">
        <v>175.2</v>
      </c>
      <c r="H249" s="26">
        <v>177.3</v>
      </c>
      <c r="I249" s="26">
        <v>179.2</v>
      </c>
      <c r="J249" s="26">
        <v>169.5</v>
      </c>
      <c r="K249" s="26">
        <v>152.80000000000001</v>
      </c>
      <c r="L249" s="26">
        <v>171.1</v>
      </c>
      <c r="M249" s="26">
        <v>120</v>
      </c>
      <c r="N249" s="26">
        <v>209.7</v>
      </c>
      <c r="O249" s="26">
        <v>172.3</v>
      </c>
      <c r="P249" s="26">
        <v>193</v>
      </c>
      <c r="Q249" s="26">
        <v>177</v>
      </c>
      <c r="R249" s="26">
        <v>199.5</v>
      </c>
      <c r="S249" s="26">
        <v>186.1</v>
      </c>
      <c r="T249" s="26">
        <v>178.7</v>
      </c>
      <c r="U249" s="26">
        <v>185.1</v>
      </c>
      <c r="V249" s="26">
        <v>173.5</v>
      </c>
      <c r="W249" s="26">
        <v>181.9</v>
      </c>
      <c r="X249" s="26">
        <v>174.2</v>
      </c>
      <c r="Y249" s="26">
        <v>184.4</v>
      </c>
      <c r="Z249" s="26">
        <v>164.2</v>
      </c>
      <c r="AA249" s="26">
        <v>170.3</v>
      </c>
      <c r="AB249" s="26">
        <v>175</v>
      </c>
      <c r="AC249" s="26">
        <v>181</v>
      </c>
      <c r="AD249" s="26">
        <v>174.1</v>
      </c>
      <c r="AE249" s="26">
        <v>177.2</v>
      </c>
      <c r="AF249" s="26">
        <v>2279.1999999999998</v>
      </c>
      <c r="AG249" s="26">
        <v>549.9</v>
      </c>
      <c r="AH249" s="26">
        <v>529.59999999999991</v>
      </c>
      <c r="AI249" s="26">
        <v>365.4</v>
      </c>
      <c r="AJ249" s="26">
        <v>344.4</v>
      </c>
      <c r="AK249" s="26">
        <v>4607.1999999999989</v>
      </c>
    </row>
    <row r="250" spans="1:37" x14ac:dyDescent="0.25">
      <c r="A250" t="s">
        <v>35</v>
      </c>
      <c r="B250">
        <v>2023</v>
      </c>
      <c r="C250" t="s">
        <v>38</v>
      </c>
      <c r="D250" s="25">
        <v>45017</v>
      </c>
      <c r="E250" s="26">
        <v>173.8</v>
      </c>
      <c r="F250" s="26">
        <v>209.3</v>
      </c>
      <c r="G250" s="26">
        <v>169.6</v>
      </c>
      <c r="H250" s="26">
        <v>178.4</v>
      </c>
      <c r="I250" s="26">
        <v>174.9</v>
      </c>
      <c r="J250" s="26">
        <v>176.3</v>
      </c>
      <c r="K250" s="26">
        <v>155.4</v>
      </c>
      <c r="L250" s="26">
        <v>173.4</v>
      </c>
      <c r="M250" s="26">
        <v>121.3</v>
      </c>
      <c r="N250" s="26">
        <v>212.9</v>
      </c>
      <c r="O250" s="26">
        <v>172.9</v>
      </c>
      <c r="P250" s="26">
        <v>193.5</v>
      </c>
      <c r="Q250" s="26">
        <v>177.9</v>
      </c>
      <c r="R250" s="26">
        <v>200.6</v>
      </c>
      <c r="S250" s="26">
        <v>186.9</v>
      </c>
      <c r="T250" s="26">
        <v>179.2</v>
      </c>
      <c r="U250" s="26">
        <v>185.7</v>
      </c>
      <c r="V250" s="26">
        <v>175.2</v>
      </c>
      <c r="W250" s="26">
        <v>181.7</v>
      </c>
      <c r="X250" s="26">
        <v>174.6</v>
      </c>
      <c r="Y250" s="26">
        <v>185</v>
      </c>
      <c r="Z250" s="26">
        <v>164.5</v>
      </c>
      <c r="AA250" s="26">
        <v>170.7</v>
      </c>
      <c r="AB250" s="26">
        <v>176.4</v>
      </c>
      <c r="AC250" s="26">
        <v>184</v>
      </c>
      <c r="AD250" s="26">
        <v>175</v>
      </c>
      <c r="AE250" s="26">
        <v>178.1</v>
      </c>
      <c r="AF250" s="26">
        <v>2289.6000000000004</v>
      </c>
      <c r="AG250" s="26">
        <v>551.79999999999995</v>
      </c>
      <c r="AH250" s="26">
        <v>531.5</v>
      </c>
      <c r="AI250" s="26">
        <v>369</v>
      </c>
      <c r="AJ250" s="26">
        <v>345.7</v>
      </c>
      <c r="AK250" s="26">
        <v>4629.1000000000004</v>
      </c>
    </row>
    <row r="251" spans="1:37" x14ac:dyDescent="0.25">
      <c r="A251" t="s">
        <v>35</v>
      </c>
      <c r="B251">
        <v>2023</v>
      </c>
      <c r="C251" t="s">
        <v>39</v>
      </c>
      <c r="D251" s="25">
        <v>45047</v>
      </c>
      <c r="E251" s="26">
        <v>173.7</v>
      </c>
      <c r="F251" s="26">
        <v>214.3</v>
      </c>
      <c r="G251" s="26">
        <v>173.2</v>
      </c>
      <c r="H251" s="26">
        <v>179.5</v>
      </c>
      <c r="I251" s="26">
        <v>170</v>
      </c>
      <c r="J251" s="26">
        <v>172.2</v>
      </c>
      <c r="K251" s="26">
        <v>161</v>
      </c>
      <c r="L251" s="26">
        <v>175.6</v>
      </c>
      <c r="M251" s="26">
        <v>122.7</v>
      </c>
      <c r="N251" s="26">
        <v>218</v>
      </c>
      <c r="O251" s="26">
        <v>173.4</v>
      </c>
      <c r="P251" s="26">
        <v>194.2</v>
      </c>
      <c r="Q251" s="26">
        <v>179.1</v>
      </c>
      <c r="R251" s="26">
        <v>201</v>
      </c>
      <c r="S251" s="26">
        <v>187.3</v>
      </c>
      <c r="T251" s="26">
        <v>179.7</v>
      </c>
      <c r="U251" s="26">
        <v>186.2</v>
      </c>
      <c r="V251" s="26">
        <v>175.6</v>
      </c>
      <c r="W251" s="26">
        <v>182.8</v>
      </c>
      <c r="X251" s="26">
        <v>175.2</v>
      </c>
      <c r="Y251" s="26">
        <v>185.7</v>
      </c>
      <c r="Z251" s="26">
        <v>164.8</v>
      </c>
      <c r="AA251" s="26">
        <v>171.2</v>
      </c>
      <c r="AB251" s="26">
        <v>177.1</v>
      </c>
      <c r="AC251" s="26">
        <v>185.2</v>
      </c>
      <c r="AD251" s="26">
        <v>175.7</v>
      </c>
      <c r="AE251" s="26">
        <v>179.1</v>
      </c>
      <c r="AF251" s="26">
        <v>2306.9</v>
      </c>
      <c r="AG251" s="26">
        <v>553.20000000000005</v>
      </c>
      <c r="AH251" s="26">
        <v>533.59999999999991</v>
      </c>
      <c r="AI251" s="26">
        <v>370.9</v>
      </c>
      <c r="AJ251" s="26">
        <v>346.9</v>
      </c>
      <c r="AK251" s="26">
        <v>4654.3999999999996</v>
      </c>
    </row>
    <row r="252" spans="1:37" x14ac:dyDescent="0.25">
      <c r="A252" t="s">
        <v>34</v>
      </c>
      <c r="B252">
        <v>2013</v>
      </c>
      <c r="C252" t="s">
        <v>32</v>
      </c>
      <c r="D252" s="25">
        <v>41275</v>
      </c>
      <c r="E252" s="26">
        <v>110.5</v>
      </c>
      <c r="F252" s="26">
        <v>109.1</v>
      </c>
      <c r="G252" s="26">
        <v>113</v>
      </c>
      <c r="H252" s="26">
        <v>103.6</v>
      </c>
      <c r="I252" s="26">
        <v>103.4</v>
      </c>
      <c r="J252" s="26">
        <v>102.3</v>
      </c>
      <c r="K252" s="26">
        <v>102.9</v>
      </c>
      <c r="L252" s="26">
        <v>105.8</v>
      </c>
      <c r="M252" s="26">
        <v>105.1</v>
      </c>
      <c r="N252" s="26">
        <v>101.8</v>
      </c>
      <c r="O252" s="26">
        <v>105.1</v>
      </c>
      <c r="P252" s="26">
        <v>107.9</v>
      </c>
      <c r="Q252" s="26">
        <v>105.9</v>
      </c>
      <c r="R252" s="26">
        <v>105.2</v>
      </c>
      <c r="S252" s="26">
        <v>105.9</v>
      </c>
      <c r="T252" s="26">
        <v>105</v>
      </c>
      <c r="U252" s="26">
        <v>105.8</v>
      </c>
      <c r="V252" s="26">
        <v>100.3</v>
      </c>
      <c r="W252" s="26">
        <v>105.4</v>
      </c>
      <c r="X252" s="26">
        <v>104.8</v>
      </c>
      <c r="Y252" s="26">
        <v>104.1</v>
      </c>
      <c r="Z252" s="26">
        <v>103.2</v>
      </c>
      <c r="AA252" s="26">
        <v>102.9</v>
      </c>
      <c r="AB252" s="26">
        <v>103.5</v>
      </c>
      <c r="AC252" s="26">
        <v>104.3</v>
      </c>
      <c r="AD252" s="26">
        <v>103.7</v>
      </c>
      <c r="AE252" s="26">
        <v>104</v>
      </c>
      <c r="AF252" s="26">
        <v>1376.4</v>
      </c>
      <c r="AG252" s="26">
        <v>316.7</v>
      </c>
      <c r="AH252" s="26">
        <v>310.5</v>
      </c>
      <c r="AI252" s="26">
        <v>208.39999999999998</v>
      </c>
      <c r="AJ252" s="26">
        <v>206.60000000000002</v>
      </c>
      <c r="AK252" s="26">
        <v>2730.5</v>
      </c>
    </row>
    <row r="253" spans="1:37" x14ac:dyDescent="0.25">
      <c r="A253" t="s">
        <v>34</v>
      </c>
      <c r="B253">
        <v>2013</v>
      </c>
      <c r="C253" t="s">
        <v>36</v>
      </c>
      <c r="D253" s="25">
        <v>41306</v>
      </c>
      <c r="E253" s="26">
        <v>112.9</v>
      </c>
      <c r="F253" s="26">
        <v>112.9</v>
      </c>
      <c r="G253" s="26">
        <v>116.9</v>
      </c>
      <c r="H253" s="26">
        <v>104</v>
      </c>
      <c r="I253" s="26">
        <v>103.5</v>
      </c>
      <c r="J253" s="26">
        <v>103.1</v>
      </c>
      <c r="K253" s="26">
        <v>104.9</v>
      </c>
      <c r="L253" s="26">
        <v>104.1</v>
      </c>
      <c r="M253" s="26">
        <v>103.8</v>
      </c>
      <c r="N253" s="26">
        <v>102.3</v>
      </c>
      <c r="O253" s="26">
        <v>106</v>
      </c>
      <c r="P253" s="26">
        <v>109</v>
      </c>
      <c r="Q253" s="26">
        <v>107.2</v>
      </c>
      <c r="R253" s="26">
        <v>106</v>
      </c>
      <c r="S253" s="26">
        <v>106.6</v>
      </c>
      <c r="T253" s="26">
        <v>105.5</v>
      </c>
      <c r="U253" s="26">
        <v>106.4</v>
      </c>
      <c r="V253" s="26">
        <v>100.4</v>
      </c>
      <c r="W253" s="26">
        <v>105.7</v>
      </c>
      <c r="X253" s="26">
        <v>105.2</v>
      </c>
      <c r="Y253" s="26">
        <v>104.7</v>
      </c>
      <c r="Z253" s="26">
        <v>104.4</v>
      </c>
      <c r="AA253" s="26">
        <v>103.3</v>
      </c>
      <c r="AB253" s="26">
        <v>103.7</v>
      </c>
      <c r="AC253" s="26">
        <v>104.3</v>
      </c>
      <c r="AD253" s="26">
        <v>104.3</v>
      </c>
      <c r="AE253" s="26">
        <v>104.7</v>
      </c>
      <c r="AF253" s="26">
        <v>1390.6000000000001</v>
      </c>
      <c r="AG253" s="26">
        <v>318.5</v>
      </c>
      <c r="AH253" s="26">
        <v>311.3</v>
      </c>
      <c r="AI253" s="26">
        <v>209</v>
      </c>
      <c r="AJ253" s="26">
        <v>207.6</v>
      </c>
      <c r="AK253" s="26">
        <v>2751.1000000000004</v>
      </c>
    </row>
    <row r="254" spans="1:37" x14ac:dyDescent="0.25">
      <c r="A254" t="s">
        <v>34</v>
      </c>
      <c r="B254">
        <v>2013</v>
      </c>
      <c r="C254" t="s">
        <v>37</v>
      </c>
      <c r="D254" s="25">
        <v>41334</v>
      </c>
      <c r="E254" s="26">
        <v>113.9</v>
      </c>
      <c r="F254" s="26">
        <v>111.4</v>
      </c>
      <c r="G254" s="26">
        <v>113.2</v>
      </c>
      <c r="H254" s="26">
        <v>104.3</v>
      </c>
      <c r="I254" s="26">
        <v>102.7</v>
      </c>
      <c r="J254" s="26">
        <v>104.9</v>
      </c>
      <c r="K254" s="26">
        <v>103.8</v>
      </c>
      <c r="L254" s="26">
        <v>103.5</v>
      </c>
      <c r="M254" s="26">
        <v>102.6</v>
      </c>
      <c r="N254" s="26">
        <v>102.4</v>
      </c>
      <c r="O254" s="26">
        <v>107</v>
      </c>
      <c r="P254" s="26">
        <v>109.8</v>
      </c>
      <c r="Q254" s="26">
        <v>107.3</v>
      </c>
      <c r="R254" s="26">
        <v>106.8</v>
      </c>
      <c r="S254" s="26">
        <v>107.2</v>
      </c>
      <c r="T254" s="26">
        <v>106</v>
      </c>
      <c r="U254" s="26">
        <v>107</v>
      </c>
      <c r="V254" s="26">
        <v>100.4</v>
      </c>
      <c r="W254" s="26">
        <v>106</v>
      </c>
      <c r="X254" s="26">
        <v>105.7</v>
      </c>
      <c r="Y254" s="26">
        <v>105.2</v>
      </c>
      <c r="Z254" s="26">
        <v>105.5</v>
      </c>
      <c r="AA254" s="26">
        <v>103.5</v>
      </c>
      <c r="AB254" s="26">
        <v>103.8</v>
      </c>
      <c r="AC254" s="26">
        <v>104.2</v>
      </c>
      <c r="AD254" s="26">
        <v>104.9</v>
      </c>
      <c r="AE254" s="26">
        <v>105</v>
      </c>
      <c r="AF254" s="26">
        <v>1386.8</v>
      </c>
      <c r="AG254" s="26">
        <v>320.2</v>
      </c>
      <c r="AH254" s="26">
        <v>312.10000000000002</v>
      </c>
      <c r="AI254" s="26">
        <v>209.4</v>
      </c>
      <c r="AJ254" s="26">
        <v>208.4</v>
      </c>
      <c r="AK254" s="26">
        <v>2753.0000000000005</v>
      </c>
    </row>
    <row r="255" spans="1:37" x14ac:dyDescent="0.25">
      <c r="A255" t="s">
        <v>34</v>
      </c>
      <c r="B255">
        <v>2013</v>
      </c>
      <c r="C255" t="s">
        <v>38</v>
      </c>
      <c r="D255" s="25">
        <v>41365</v>
      </c>
      <c r="E255" s="26">
        <v>114.6</v>
      </c>
      <c r="F255" s="26">
        <v>113.4</v>
      </c>
      <c r="G255" s="26">
        <v>106</v>
      </c>
      <c r="H255" s="26">
        <v>104.7</v>
      </c>
      <c r="I255" s="26">
        <v>102.1</v>
      </c>
      <c r="J255" s="26">
        <v>109.5</v>
      </c>
      <c r="K255" s="26">
        <v>109.7</v>
      </c>
      <c r="L255" s="26">
        <v>104.6</v>
      </c>
      <c r="M255" s="26">
        <v>102</v>
      </c>
      <c r="N255" s="26">
        <v>103.5</v>
      </c>
      <c r="O255" s="26">
        <v>108.2</v>
      </c>
      <c r="P255" s="26">
        <v>110.6</v>
      </c>
      <c r="Q255" s="26">
        <v>108.8</v>
      </c>
      <c r="R255" s="26">
        <v>108.5</v>
      </c>
      <c r="S255" s="26">
        <v>107.9</v>
      </c>
      <c r="T255" s="26">
        <v>106.4</v>
      </c>
      <c r="U255" s="26">
        <v>107.7</v>
      </c>
      <c r="V255" s="26">
        <v>100.5</v>
      </c>
      <c r="W255" s="26">
        <v>106.4</v>
      </c>
      <c r="X255" s="26">
        <v>106.5</v>
      </c>
      <c r="Y255" s="26">
        <v>105.7</v>
      </c>
      <c r="Z255" s="26">
        <v>105</v>
      </c>
      <c r="AA255" s="26">
        <v>104</v>
      </c>
      <c r="AB255" s="26">
        <v>105.2</v>
      </c>
      <c r="AC255" s="26">
        <v>103.2</v>
      </c>
      <c r="AD255" s="26">
        <v>105.1</v>
      </c>
      <c r="AE255" s="26">
        <v>105.7</v>
      </c>
      <c r="AF255" s="26">
        <v>1397.6999999999998</v>
      </c>
      <c r="AG255" s="26">
        <v>322</v>
      </c>
      <c r="AH255" s="26">
        <v>313.39999999999998</v>
      </c>
      <c r="AI255" s="26">
        <v>208.9</v>
      </c>
      <c r="AJ255" s="26">
        <v>209.1</v>
      </c>
      <c r="AK255" s="26">
        <v>2769.7999999999997</v>
      </c>
    </row>
    <row r="256" spans="1:37" x14ac:dyDescent="0.25">
      <c r="A256" t="s">
        <v>34</v>
      </c>
      <c r="B256">
        <v>2013</v>
      </c>
      <c r="C256" t="s">
        <v>39</v>
      </c>
      <c r="D256" s="25">
        <v>41395</v>
      </c>
      <c r="E256" s="26">
        <v>115.4</v>
      </c>
      <c r="F256" s="26">
        <v>114.2</v>
      </c>
      <c r="G256" s="26">
        <v>102.7</v>
      </c>
      <c r="H256" s="26">
        <v>105.5</v>
      </c>
      <c r="I256" s="26">
        <v>101.5</v>
      </c>
      <c r="J256" s="26">
        <v>110.6</v>
      </c>
      <c r="K256" s="26">
        <v>123.7</v>
      </c>
      <c r="L256" s="26">
        <v>105.2</v>
      </c>
      <c r="M256" s="26">
        <v>101.9</v>
      </c>
      <c r="N256" s="26">
        <v>105</v>
      </c>
      <c r="O256" s="26">
        <v>109.1</v>
      </c>
      <c r="P256" s="26">
        <v>111.3</v>
      </c>
      <c r="Q256" s="26">
        <v>111.1</v>
      </c>
      <c r="R256" s="26">
        <v>109.8</v>
      </c>
      <c r="S256" s="26">
        <v>108.5</v>
      </c>
      <c r="T256" s="26">
        <v>106.7</v>
      </c>
      <c r="U256" s="26">
        <v>108.3</v>
      </c>
      <c r="V256" s="26">
        <v>100.5</v>
      </c>
      <c r="W256" s="26">
        <v>107.2</v>
      </c>
      <c r="X256" s="26">
        <v>107.1</v>
      </c>
      <c r="Y256" s="26">
        <v>106.2</v>
      </c>
      <c r="Z256" s="26">
        <v>103.9</v>
      </c>
      <c r="AA256" s="26">
        <v>104.6</v>
      </c>
      <c r="AB256" s="26">
        <v>105.7</v>
      </c>
      <c r="AC256" s="26">
        <v>102.6</v>
      </c>
      <c r="AD256" s="26">
        <v>104.9</v>
      </c>
      <c r="AE256" s="26">
        <v>106.6</v>
      </c>
      <c r="AF256" s="26">
        <v>1417.1999999999998</v>
      </c>
      <c r="AG256" s="26">
        <v>323.5</v>
      </c>
      <c r="AH256" s="26">
        <v>314.79999999999995</v>
      </c>
      <c r="AI256" s="26">
        <v>208.8</v>
      </c>
      <c r="AJ256" s="26">
        <v>209.5</v>
      </c>
      <c r="AK256" s="26">
        <v>2793.2</v>
      </c>
    </row>
    <row r="257" spans="1:37" x14ac:dyDescent="0.25">
      <c r="A257" t="s">
        <v>34</v>
      </c>
      <c r="B257">
        <v>2013</v>
      </c>
      <c r="C257" t="s">
        <v>40</v>
      </c>
      <c r="D257" s="25">
        <v>41426</v>
      </c>
      <c r="E257" s="26">
        <v>117</v>
      </c>
      <c r="F257" s="26">
        <v>120.1</v>
      </c>
      <c r="G257" s="26">
        <v>112.5</v>
      </c>
      <c r="H257" s="26">
        <v>107.3</v>
      </c>
      <c r="I257" s="26">
        <v>101.3</v>
      </c>
      <c r="J257" s="26">
        <v>112.4</v>
      </c>
      <c r="K257" s="26">
        <v>143.6</v>
      </c>
      <c r="L257" s="26">
        <v>105.4</v>
      </c>
      <c r="M257" s="26">
        <v>101.4</v>
      </c>
      <c r="N257" s="26">
        <v>106.4</v>
      </c>
      <c r="O257" s="26">
        <v>110</v>
      </c>
      <c r="P257" s="26">
        <v>112.2</v>
      </c>
      <c r="Q257" s="26">
        <v>115</v>
      </c>
      <c r="R257" s="26">
        <v>110.9</v>
      </c>
      <c r="S257" s="26">
        <v>109.2</v>
      </c>
      <c r="T257" s="26">
        <v>107.2</v>
      </c>
      <c r="U257" s="26">
        <v>108.9</v>
      </c>
      <c r="V257" s="26">
        <v>106.6</v>
      </c>
      <c r="W257" s="26">
        <v>108</v>
      </c>
      <c r="X257" s="26">
        <v>107.7</v>
      </c>
      <c r="Y257" s="26">
        <v>106.5</v>
      </c>
      <c r="Z257" s="26">
        <v>105.2</v>
      </c>
      <c r="AA257" s="26">
        <v>105.2</v>
      </c>
      <c r="AB257" s="26">
        <v>108.1</v>
      </c>
      <c r="AC257" s="26">
        <v>103.3</v>
      </c>
      <c r="AD257" s="26">
        <v>106.1</v>
      </c>
      <c r="AE257" s="26">
        <v>109.7</v>
      </c>
      <c r="AF257" s="26">
        <v>1464.6000000000001</v>
      </c>
      <c r="AG257" s="26">
        <v>325.3</v>
      </c>
      <c r="AH257" s="26">
        <v>322.3</v>
      </c>
      <c r="AI257" s="26">
        <v>209.8</v>
      </c>
      <c r="AJ257" s="26">
        <v>211.3</v>
      </c>
      <c r="AK257" s="26">
        <v>2857.5000000000009</v>
      </c>
    </row>
    <row r="258" spans="1:37" x14ac:dyDescent="0.25">
      <c r="A258" t="s">
        <v>34</v>
      </c>
      <c r="B258">
        <v>2013</v>
      </c>
      <c r="C258" t="s">
        <v>41</v>
      </c>
      <c r="D258" s="25">
        <v>41456</v>
      </c>
      <c r="E258" s="26">
        <v>117.8</v>
      </c>
      <c r="F258" s="26">
        <v>119.2</v>
      </c>
      <c r="G258" s="26">
        <v>114</v>
      </c>
      <c r="H258" s="26">
        <v>108.3</v>
      </c>
      <c r="I258" s="26">
        <v>101.1</v>
      </c>
      <c r="J258" s="26">
        <v>113.2</v>
      </c>
      <c r="K258" s="26">
        <v>160.9</v>
      </c>
      <c r="L258" s="26">
        <v>105.1</v>
      </c>
      <c r="M258" s="26">
        <v>101.3</v>
      </c>
      <c r="N258" s="26">
        <v>107.5</v>
      </c>
      <c r="O258" s="26">
        <v>110.4</v>
      </c>
      <c r="P258" s="26">
        <v>113.1</v>
      </c>
      <c r="Q258" s="26">
        <v>117.5</v>
      </c>
      <c r="R258" s="26">
        <v>111.7</v>
      </c>
      <c r="S258" s="26">
        <v>109.8</v>
      </c>
      <c r="T258" s="26">
        <v>107.8</v>
      </c>
      <c r="U258" s="26">
        <v>109.5</v>
      </c>
      <c r="V258" s="26">
        <v>107.7</v>
      </c>
      <c r="W258" s="26">
        <v>108.6</v>
      </c>
      <c r="X258" s="26">
        <v>108.1</v>
      </c>
      <c r="Y258" s="26">
        <v>107.1</v>
      </c>
      <c r="Z258" s="26">
        <v>107.3</v>
      </c>
      <c r="AA258" s="26">
        <v>105.9</v>
      </c>
      <c r="AB258" s="26">
        <v>110.1</v>
      </c>
      <c r="AC258" s="26">
        <v>103.2</v>
      </c>
      <c r="AD258" s="26">
        <v>107.3</v>
      </c>
      <c r="AE258" s="26">
        <v>111.4</v>
      </c>
      <c r="AF258" s="26">
        <v>1489.4</v>
      </c>
      <c r="AG258" s="26">
        <v>327.10000000000002</v>
      </c>
      <c r="AH258" s="26">
        <v>324.39999999999998</v>
      </c>
      <c r="AI258" s="26">
        <v>210.3</v>
      </c>
      <c r="AJ258" s="26">
        <v>213.2</v>
      </c>
      <c r="AK258" s="26">
        <v>2893.5</v>
      </c>
    </row>
    <row r="259" spans="1:37" x14ac:dyDescent="0.25">
      <c r="A259" t="s">
        <v>34</v>
      </c>
      <c r="B259">
        <v>2013</v>
      </c>
      <c r="C259" t="s">
        <v>42</v>
      </c>
      <c r="D259" s="25">
        <v>41487</v>
      </c>
      <c r="E259" s="26">
        <v>118.3</v>
      </c>
      <c r="F259" s="26">
        <v>120.4</v>
      </c>
      <c r="G259" s="26">
        <v>112.7</v>
      </c>
      <c r="H259" s="26">
        <v>108.9</v>
      </c>
      <c r="I259" s="26">
        <v>101.1</v>
      </c>
      <c r="J259" s="26">
        <v>108.7</v>
      </c>
      <c r="K259" s="26">
        <v>177</v>
      </c>
      <c r="L259" s="26">
        <v>104.7</v>
      </c>
      <c r="M259" s="26">
        <v>101</v>
      </c>
      <c r="N259" s="26">
        <v>108.5</v>
      </c>
      <c r="O259" s="26">
        <v>110.9</v>
      </c>
      <c r="P259" s="26">
        <v>114.3</v>
      </c>
      <c r="Q259" s="26">
        <v>119.6</v>
      </c>
      <c r="R259" s="26">
        <v>112.4</v>
      </c>
      <c r="S259" s="26">
        <v>110.6</v>
      </c>
      <c r="T259" s="26">
        <v>108.3</v>
      </c>
      <c r="U259" s="26">
        <v>110.2</v>
      </c>
      <c r="V259" s="26">
        <v>108.9</v>
      </c>
      <c r="W259" s="26">
        <v>109.3</v>
      </c>
      <c r="X259" s="26">
        <v>108.7</v>
      </c>
      <c r="Y259" s="26">
        <v>107.6</v>
      </c>
      <c r="Z259" s="26">
        <v>108.1</v>
      </c>
      <c r="AA259" s="26">
        <v>106.5</v>
      </c>
      <c r="AB259" s="26">
        <v>110.8</v>
      </c>
      <c r="AC259" s="26">
        <v>106</v>
      </c>
      <c r="AD259" s="26">
        <v>108.3</v>
      </c>
      <c r="AE259" s="26">
        <v>112.7</v>
      </c>
      <c r="AF259" s="26">
        <v>1506.1000000000001</v>
      </c>
      <c r="AG259" s="26">
        <v>329.09999999999997</v>
      </c>
      <c r="AH259" s="26">
        <v>326.89999999999998</v>
      </c>
      <c r="AI259" s="26">
        <v>213.6</v>
      </c>
      <c r="AJ259" s="26">
        <v>214.8</v>
      </c>
      <c r="AK259" s="26">
        <v>2921.8</v>
      </c>
    </row>
    <row r="260" spans="1:37" x14ac:dyDescent="0.25">
      <c r="A260" t="s">
        <v>34</v>
      </c>
      <c r="B260">
        <v>2013</v>
      </c>
      <c r="C260" t="s">
        <v>43</v>
      </c>
      <c r="D260" s="25">
        <v>41518</v>
      </c>
      <c r="E260" s="26">
        <v>118.6</v>
      </c>
      <c r="F260" s="26">
        <v>119.1</v>
      </c>
      <c r="G260" s="26">
        <v>113.2</v>
      </c>
      <c r="H260" s="26">
        <v>109.6</v>
      </c>
      <c r="I260" s="26">
        <v>101.7</v>
      </c>
      <c r="J260" s="26">
        <v>103.2</v>
      </c>
      <c r="K260" s="26">
        <v>174.3</v>
      </c>
      <c r="L260" s="26">
        <v>105.1</v>
      </c>
      <c r="M260" s="26">
        <v>100.8</v>
      </c>
      <c r="N260" s="26">
        <v>109.1</v>
      </c>
      <c r="O260" s="26">
        <v>111.1</v>
      </c>
      <c r="P260" s="26">
        <v>115.4</v>
      </c>
      <c r="Q260" s="26">
        <v>119.2</v>
      </c>
      <c r="R260" s="26">
        <v>112.9</v>
      </c>
      <c r="S260" s="26">
        <v>111.4</v>
      </c>
      <c r="T260" s="26">
        <v>109</v>
      </c>
      <c r="U260" s="26">
        <v>111.1</v>
      </c>
      <c r="V260" s="26">
        <v>109.7</v>
      </c>
      <c r="W260" s="26">
        <v>109.5</v>
      </c>
      <c r="X260" s="26">
        <v>109.6</v>
      </c>
      <c r="Y260" s="26">
        <v>107.9</v>
      </c>
      <c r="Z260" s="26">
        <v>110.4</v>
      </c>
      <c r="AA260" s="26">
        <v>107.4</v>
      </c>
      <c r="AB260" s="26">
        <v>111.2</v>
      </c>
      <c r="AC260" s="26">
        <v>106.9</v>
      </c>
      <c r="AD260" s="26">
        <v>109.4</v>
      </c>
      <c r="AE260" s="26">
        <v>113.2</v>
      </c>
      <c r="AF260" s="26">
        <v>1500.4</v>
      </c>
      <c r="AG260" s="26">
        <v>331.5</v>
      </c>
      <c r="AH260" s="26">
        <v>328.79999999999995</v>
      </c>
      <c r="AI260" s="26">
        <v>214.8</v>
      </c>
      <c r="AJ260" s="26">
        <v>216.8</v>
      </c>
      <c r="AK260" s="26">
        <v>2926.8</v>
      </c>
    </row>
    <row r="261" spans="1:37" x14ac:dyDescent="0.25">
      <c r="A261" t="s">
        <v>34</v>
      </c>
      <c r="B261">
        <v>2013</v>
      </c>
      <c r="C261" t="s">
        <v>44</v>
      </c>
      <c r="D261" s="25">
        <v>41548</v>
      </c>
      <c r="E261" s="26">
        <v>118.9</v>
      </c>
      <c r="F261" s="26">
        <v>118.1</v>
      </c>
      <c r="G261" s="26">
        <v>114.5</v>
      </c>
      <c r="H261" s="26">
        <v>110.4</v>
      </c>
      <c r="I261" s="26">
        <v>102.3</v>
      </c>
      <c r="J261" s="26">
        <v>106.2</v>
      </c>
      <c r="K261" s="26">
        <v>183.5</v>
      </c>
      <c r="L261" s="26">
        <v>105.3</v>
      </c>
      <c r="M261" s="26">
        <v>100.2</v>
      </c>
      <c r="N261" s="26">
        <v>109.6</v>
      </c>
      <c r="O261" s="26">
        <v>111.4</v>
      </c>
      <c r="P261" s="26">
        <v>116</v>
      </c>
      <c r="Q261" s="26">
        <v>120.8</v>
      </c>
      <c r="R261" s="26">
        <v>113.5</v>
      </c>
      <c r="S261" s="26">
        <v>112.5</v>
      </c>
      <c r="T261" s="26">
        <v>109.7</v>
      </c>
      <c r="U261" s="26">
        <v>112</v>
      </c>
      <c r="V261" s="26">
        <v>110.5</v>
      </c>
      <c r="W261" s="26">
        <v>109.7</v>
      </c>
      <c r="X261" s="26">
        <v>110.2</v>
      </c>
      <c r="Y261" s="26">
        <v>108.2</v>
      </c>
      <c r="Z261" s="26">
        <v>109.7</v>
      </c>
      <c r="AA261" s="26">
        <v>108</v>
      </c>
      <c r="AB261" s="26">
        <v>111.3</v>
      </c>
      <c r="AC261" s="26">
        <v>107.3</v>
      </c>
      <c r="AD261" s="26">
        <v>109.4</v>
      </c>
      <c r="AE261" s="26">
        <v>114</v>
      </c>
      <c r="AF261" s="26">
        <v>1517.1999999999998</v>
      </c>
      <c r="AG261" s="26">
        <v>334.2</v>
      </c>
      <c r="AH261" s="26">
        <v>330.4</v>
      </c>
      <c r="AI261" s="26">
        <v>215.5</v>
      </c>
      <c r="AJ261" s="26">
        <v>217.4</v>
      </c>
      <c r="AK261" s="26">
        <v>2949.2</v>
      </c>
    </row>
    <row r="262" spans="1:37" x14ac:dyDescent="0.25">
      <c r="A262" t="s">
        <v>34</v>
      </c>
      <c r="B262">
        <v>2013</v>
      </c>
      <c r="C262" t="s">
        <v>46</v>
      </c>
      <c r="D262" s="25">
        <v>41579</v>
      </c>
      <c r="E262" s="26">
        <v>119.8</v>
      </c>
      <c r="F262" s="26">
        <v>116.3</v>
      </c>
      <c r="G262" s="26">
        <v>122.6</v>
      </c>
      <c r="H262" s="26">
        <v>112</v>
      </c>
      <c r="I262" s="26">
        <v>103.2</v>
      </c>
      <c r="J262" s="26">
        <v>110</v>
      </c>
      <c r="K262" s="26">
        <v>192.8</v>
      </c>
      <c r="L262" s="26">
        <v>106.3</v>
      </c>
      <c r="M262" s="26">
        <v>99.5</v>
      </c>
      <c r="N262" s="26">
        <v>110.3</v>
      </c>
      <c r="O262" s="26">
        <v>111.8</v>
      </c>
      <c r="P262" s="26">
        <v>117.1</v>
      </c>
      <c r="Q262" s="26">
        <v>122.9</v>
      </c>
      <c r="R262" s="26">
        <v>114.1</v>
      </c>
      <c r="S262" s="26">
        <v>113.5</v>
      </c>
      <c r="T262" s="26">
        <v>110.3</v>
      </c>
      <c r="U262" s="26">
        <v>113</v>
      </c>
      <c r="V262" s="26">
        <v>111.1</v>
      </c>
      <c r="W262" s="26">
        <v>110</v>
      </c>
      <c r="X262" s="26">
        <v>110.9</v>
      </c>
      <c r="Y262" s="26">
        <v>108.6</v>
      </c>
      <c r="Z262" s="26">
        <v>109.5</v>
      </c>
      <c r="AA262" s="26">
        <v>108.5</v>
      </c>
      <c r="AB262" s="26">
        <v>111.3</v>
      </c>
      <c r="AC262" s="26">
        <v>107.9</v>
      </c>
      <c r="AD262" s="26">
        <v>109.6</v>
      </c>
      <c r="AE262" s="26">
        <v>115</v>
      </c>
      <c r="AF262" s="26">
        <v>1544.6</v>
      </c>
      <c r="AG262" s="26">
        <v>336.8</v>
      </c>
      <c r="AH262" s="26">
        <v>332</v>
      </c>
      <c r="AI262" s="26">
        <v>216.5</v>
      </c>
      <c r="AJ262" s="26">
        <v>218.1</v>
      </c>
      <c r="AK262" s="26">
        <v>2982.9</v>
      </c>
    </row>
    <row r="263" spans="1:37" x14ac:dyDescent="0.25">
      <c r="A263" t="s">
        <v>34</v>
      </c>
      <c r="B263">
        <v>2013</v>
      </c>
      <c r="C263" t="s">
        <v>47</v>
      </c>
      <c r="D263" s="25">
        <v>41609</v>
      </c>
      <c r="E263" s="26">
        <v>120.5</v>
      </c>
      <c r="F263" s="26">
        <v>118.1</v>
      </c>
      <c r="G263" s="26">
        <v>128.5</v>
      </c>
      <c r="H263" s="26">
        <v>112.8</v>
      </c>
      <c r="I263" s="26">
        <v>103.4</v>
      </c>
      <c r="J263" s="26">
        <v>110.7</v>
      </c>
      <c r="K263" s="26">
        <v>144.80000000000001</v>
      </c>
      <c r="L263" s="26">
        <v>107.1</v>
      </c>
      <c r="M263" s="26">
        <v>98.6</v>
      </c>
      <c r="N263" s="26">
        <v>111.9</v>
      </c>
      <c r="O263" s="26">
        <v>112.1</v>
      </c>
      <c r="P263" s="26">
        <v>118.1</v>
      </c>
      <c r="Q263" s="26">
        <v>117.8</v>
      </c>
      <c r="R263" s="26">
        <v>115</v>
      </c>
      <c r="S263" s="26">
        <v>114.2</v>
      </c>
      <c r="T263" s="26">
        <v>110.9</v>
      </c>
      <c r="U263" s="26">
        <v>113.7</v>
      </c>
      <c r="V263" s="26">
        <v>110.7</v>
      </c>
      <c r="W263" s="26">
        <v>110.4</v>
      </c>
      <c r="X263" s="26">
        <v>111.3</v>
      </c>
      <c r="Y263" s="26">
        <v>109</v>
      </c>
      <c r="Z263" s="26">
        <v>109.7</v>
      </c>
      <c r="AA263" s="26">
        <v>108.9</v>
      </c>
      <c r="AB263" s="26">
        <v>111.4</v>
      </c>
      <c r="AC263" s="26">
        <v>107.7</v>
      </c>
      <c r="AD263" s="26">
        <v>109.8</v>
      </c>
      <c r="AE263" s="26">
        <v>113.3</v>
      </c>
      <c r="AF263" s="26">
        <v>1504.4</v>
      </c>
      <c r="AG263" s="26">
        <v>338.8</v>
      </c>
      <c r="AH263" s="26">
        <v>332.40000000000003</v>
      </c>
      <c r="AI263" s="26">
        <v>216.7</v>
      </c>
      <c r="AJ263" s="26">
        <v>218.7</v>
      </c>
      <c r="AK263" s="26">
        <v>2947.1</v>
      </c>
    </row>
    <row r="264" spans="1:37" x14ac:dyDescent="0.25">
      <c r="A264" t="s">
        <v>34</v>
      </c>
      <c r="B264">
        <v>2014</v>
      </c>
      <c r="C264" t="s">
        <v>32</v>
      </c>
      <c r="D264" s="25">
        <v>41640</v>
      </c>
      <c r="E264" s="26">
        <v>121.2</v>
      </c>
      <c r="F264" s="26">
        <v>122</v>
      </c>
      <c r="G264" s="26">
        <v>129.9</v>
      </c>
      <c r="H264" s="26">
        <v>113.6</v>
      </c>
      <c r="I264" s="26">
        <v>102.9</v>
      </c>
      <c r="J264" s="26">
        <v>112.1</v>
      </c>
      <c r="K264" s="26">
        <v>118.9</v>
      </c>
      <c r="L264" s="26">
        <v>107.5</v>
      </c>
      <c r="M264" s="26">
        <v>96.9</v>
      </c>
      <c r="N264" s="26">
        <v>112.7</v>
      </c>
      <c r="O264" s="26">
        <v>112.1</v>
      </c>
      <c r="P264" s="26">
        <v>119</v>
      </c>
      <c r="Q264" s="26">
        <v>115.5</v>
      </c>
      <c r="R264" s="26">
        <v>115.7</v>
      </c>
      <c r="S264" s="26">
        <v>114.8</v>
      </c>
      <c r="T264" s="26">
        <v>111.3</v>
      </c>
      <c r="U264" s="26">
        <v>114.3</v>
      </c>
      <c r="V264" s="26">
        <v>111.6</v>
      </c>
      <c r="W264" s="26">
        <v>111</v>
      </c>
      <c r="X264" s="26">
        <v>111.9</v>
      </c>
      <c r="Y264" s="26">
        <v>109.7</v>
      </c>
      <c r="Z264" s="26">
        <v>110.8</v>
      </c>
      <c r="AA264" s="26">
        <v>109.8</v>
      </c>
      <c r="AB264" s="26">
        <v>111.5</v>
      </c>
      <c r="AC264" s="26">
        <v>108</v>
      </c>
      <c r="AD264" s="26">
        <v>110.5</v>
      </c>
      <c r="AE264" s="26">
        <v>112.9</v>
      </c>
      <c r="AF264" s="26">
        <v>1484.3</v>
      </c>
      <c r="AG264" s="26">
        <v>340.4</v>
      </c>
      <c r="AH264" s="26">
        <v>334.5</v>
      </c>
      <c r="AI264" s="26">
        <v>217.7</v>
      </c>
      <c r="AJ264" s="26">
        <v>220.3</v>
      </c>
      <c r="AK264" s="26">
        <v>2935.2</v>
      </c>
    </row>
    <row r="265" spans="1:37" x14ac:dyDescent="0.25">
      <c r="A265" t="s">
        <v>34</v>
      </c>
      <c r="B265">
        <v>2014</v>
      </c>
      <c r="C265" t="s">
        <v>36</v>
      </c>
      <c r="D265" s="25">
        <v>41671</v>
      </c>
      <c r="E265" s="26">
        <v>121.9</v>
      </c>
      <c r="F265" s="26">
        <v>122</v>
      </c>
      <c r="G265" s="26">
        <v>124.5</v>
      </c>
      <c r="H265" s="26">
        <v>115.2</v>
      </c>
      <c r="I265" s="26">
        <v>102.5</v>
      </c>
      <c r="J265" s="26">
        <v>114.1</v>
      </c>
      <c r="K265" s="26">
        <v>111.5</v>
      </c>
      <c r="L265" s="26">
        <v>108.2</v>
      </c>
      <c r="M265" s="26">
        <v>95.4</v>
      </c>
      <c r="N265" s="26">
        <v>113.5</v>
      </c>
      <c r="O265" s="26">
        <v>112.1</v>
      </c>
      <c r="P265" s="26">
        <v>119.9</v>
      </c>
      <c r="Q265" s="26">
        <v>115.2</v>
      </c>
      <c r="R265" s="26">
        <v>116.2</v>
      </c>
      <c r="S265" s="26">
        <v>115.3</v>
      </c>
      <c r="T265" s="26">
        <v>111.7</v>
      </c>
      <c r="U265" s="26">
        <v>114.7</v>
      </c>
      <c r="V265" s="26">
        <v>112.5</v>
      </c>
      <c r="W265" s="26">
        <v>111.1</v>
      </c>
      <c r="X265" s="26">
        <v>112.6</v>
      </c>
      <c r="Y265" s="26">
        <v>110.4</v>
      </c>
      <c r="Z265" s="26">
        <v>111.3</v>
      </c>
      <c r="AA265" s="26">
        <v>110.3</v>
      </c>
      <c r="AB265" s="26">
        <v>111.6</v>
      </c>
      <c r="AC265" s="26">
        <v>108.7</v>
      </c>
      <c r="AD265" s="26">
        <v>111</v>
      </c>
      <c r="AE265" s="26">
        <v>113.1</v>
      </c>
      <c r="AF265" s="26">
        <v>1476</v>
      </c>
      <c r="AG265" s="26">
        <v>341.7</v>
      </c>
      <c r="AH265" s="26">
        <v>336.2</v>
      </c>
      <c r="AI265" s="26">
        <v>219.10000000000002</v>
      </c>
      <c r="AJ265" s="26">
        <v>221.3</v>
      </c>
      <c r="AK265" s="26">
        <v>2933.3999999999996</v>
      </c>
    </row>
    <row r="266" spans="1:37" x14ac:dyDescent="0.25">
      <c r="A266" t="s">
        <v>34</v>
      </c>
      <c r="B266">
        <v>2014</v>
      </c>
      <c r="C266" t="s">
        <v>37</v>
      </c>
      <c r="D266" s="25">
        <v>41699</v>
      </c>
      <c r="E266" s="26">
        <v>122.1</v>
      </c>
      <c r="F266" s="26">
        <v>121.4</v>
      </c>
      <c r="G266" s="26">
        <v>121.5</v>
      </c>
      <c r="H266" s="26">
        <v>116.2</v>
      </c>
      <c r="I266" s="26">
        <v>102.8</v>
      </c>
      <c r="J266" s="26">
        <v>117.7</v>
      </c>
      <c r="K266" s="26">
        <v>113.3</v>
      </c>
      <c r="L266" s="26">
        <v>108.9</v>
      </c>
      <c r="M266" s="26">
        <v>96.3</v>
      </c>
      <c r="N266" s="26">
        <v>114.1</v>
      </c>
      <c r="O266" s="26">
        <v>112.2</v>
      </c>
      <c r="P266" s="26">
        <v>120.5</v>
      </c>
      <c r="Q266" s="26">
        <v>116</v>
      </c>
      <c r="R266" s="26">
        <v>116.7</v>
      </c>
      <c r="S266" s="26">
        <v>115.8</v>
      </c>
      <c r="T266" s="26">
        <v>112.1</v>
      </c>
      <c r="U266" s="26">
        <v>115.2</v>
      </c>
      <c r="V266" s="26">
        <v>113.2</v>
      </c>
      <c r="W266" s="26">
        <v>110.9</v>
      </c>
      <c r="X266" s="26">
        <v>113</v>
      </c>
      <c r="Y266" s="26">
        <v>110.8</v>
      </c>
      <c r="Z266" s="26">
        <v>111.6</v>
      </c>
      <c r="AA266" s="26">
        <v>110.9</v>
      </c>
      <c r="AB266" s="26">
        <v>111.8</v>
      </c>
      <c r="AC266" s="26">
        <v>109.2</v>
      </c>
      <c r="AD266" s="26">
        <v>111.4</v>
      </c>
      <c r="AE266" s="26">
        <v>113.7</v>
      </c>
      <c r="AF266" s="26">
        <v>1483</v>
      </c>
      <c r="AG266" s="26">
        <v>343.09999999999997</v>
      </c>
      <c r="AH266" s="26">
        <v>337.1</v>
      </c>
      <c r="AI266" s="26">
        <v>220</v>
      </c>
      <c r="AJ266" s="26">
        <v>222.3</v>
      </c>
      <c r="AK266" s="26">
        <v>2945.6</v>
      </c>
    </row>
    <row r="267" spans="1:37" x14ac:dyDescent="0.25">
      <c r="A267" t="s">
        <v>34</v>
      </c>
      <c r="B267">
        <v>2014</v>
      </c>
      <c r="C267" t="s">
        <v>38</v>
      </c>
      <c r="D267" s="25">
        <v>41730</v>
      </c>
      <c r="E267" s="26">
        <v>122.5</v>
      </c>
      <c r="F267" s="26">
        <v>121.7</v>
      </c>
      <c r="G267" s="26">
        <v>113.3</v>
      </c>
      <c r="H267" s="26">
        <v>117</v>
      </c>
      <c r="I267" s="26">
        <v>103.1</v>
      </c>
      <c r="J267" s="26">
        <v>126.7</v>
      </c>
      <c r="K267" s="26">
        <v>121.2</v>
      </c>
      <c r="L267" s="26">
        <v>111</v>
      </c>
      <c r="M267" s="26">
        <v>100.3</v>
      </c>
      <c r="N267" s="26">
        <v>115.3</v>
      </c>
      <c r="O267" s="26">
        <v>112.7</v>
      </c>
      <c r="P267" s="26">
        <v>121</v>
      </c>
      <c r="Q267" s="26">
        <v>118.2</v>
      </c>
      <c r="R267" s="26">
        <v>117.6</v>
      </c>
      <c r="S267" s="26">
        <v>116.3</v>
      </c>
      <c r="T267" s="26">
        <v>112.5</v>
      </c>
      <c r="U267" s="26">
        <v>115.7</v>
      </c>
      <c r="V267" s="26">
        <v>113.9</v>
      </c>
      <c r="W267" s="26">
        <v>110.9</v>
      </c>
      <c r="X267" s="26">
        <v>113.4</v>
      </c>
      <c r="Y267" s="26">
        <v>111</v>
      </c>
      <c r="Z267" s="26">
        <v>111.2</v>
      </c>
      <c r="AA267" s="26">
        <v>111.2</v>
      </c>
      <c r="AB267" s="26">
        <v>112.5</v>
      </c>
      <c r="AC267" s="26">
        <v>109.1</v>
      </c>
      <c r="AD267" s="26">
        <v>111.4</v>
      </c>
      <c r="AE267" s="26">
        <v>114.7</v>
      </c>
      <c r="AF267" s="26">
        <v>1504.0000000000002</v>
      </c>
      <c r="AG267" s="26">
        <v>344.5</v>
      </c>
      <c r="AH267" s="26">
        <v>338.20000000000005</v>
      </c>
      <c r="AI267" s="26">
        <v>220.1</v>
      </c>
      <c r="AJ267" s="26">
        <v>222.60000000000002</v>
      </c>
      <c r="AK267" s="26">
        <v>2970.7</v>
      </c>
    </row>
    <row r="268" spans="1:37" x14ac:dyDescent="0.25">
      <c r="A268" t="s">
        <v>34</v>
      </c>
      <c r="B268">
        <v>2014</v>
      </c>
      <c r="C268" t="s">
        <v>39</v>
      </c>
      <c r="D268" s="25">
        <v>41760</v>
      </c>
      <c r="E268" s="26">
        <v>122.7</v>
      </c>
      <c r="F268" s="26">
        <v>124.1</v>
      </c>
      <c r="G268" s="26">
        <v>114.2</v>
      </c>
      <c r="H268" s="26">
        <v>119.1</v>
      </c>
      <c r="I268" s="26">
        <v>103.5</v>
      </c>
      <c r="J268" s="26">
        <v>129.19999999999999</v>
      </c>
      <c r="K268" s="26">
        <v>127</v>
      </c>
      <c r="L268" s="26">
        <v>112.6</v>
      </c>
      <c r="M268" s="26">
        <v>101.3</v>
      </c>
      <c r="N268" s="26">
        <v>117</v>
      </c>
      <c r="O268" s="26">
        <v>112.9</v>
      </c>
      <c r="P268" s="26">
        <v>121.7</v>
      </c>
      <c r="Q268" s="26">
        <v>120</v>
      </c>
      <c r="R268" s="26">
        <v>118.3</v>
      </c>
      <c r="S268" s="26">
        <v>116.8</v>
      </c>
      <c r="T268" s="26">
        <v>112.9</v>
      </c>
      <c r="U268" s="26">
        <v>116.2</v>
      </c>
      <c r="V268" s="26">
        <v>114.3</v>
      </c>
      <c r="W268" s="26">
        <v>111.1</v>
      </c>
      <c r="X268" s="26">
        <v>114.1</v>
      </c>
      <c r="Y268" s="26">
        <v>111.2</v>
      </c>
      <c r="Z268" s="26">
        <v>111.3</v>
      </c>
      <c r="AA268" s="26">
        <v>111.5</v>
      </c>
      <c r="AB268" s="26">
        <v>112.9</v>
      </c>
      <c r="AC268" s="26">
        <v>109.3</v>
      </c>
      <c r="AD268" s="26">
        <v>111.7</v>
      </c>
      <c r="AE268" s="26">
        <v>115.6</v>
      </c>
      <c r="AF268" s="26">
        <v>1525.3000000000002</v>
      </c>
      <c r="AG268" s="26">
        <v>345.9</v>
      </c>
      <c r="AH268" s="26">
        <v>339.5</v>
      </c>
      <c r="AI268" s="26">
        <v>220.5</v>
      </c>
      <c r="AJ268" s="26">
        <v>223.2</v>
      </c>
      <c r="AK268" s="26">
        <v>2996.9</v>
      </c>
    </row>
    <row r="269" spans="1:37" x14ac:dyDescent="0.25">
      <c r="A269" t="s">
        <v>34</v>
      </c>
      <c r="B269">
        <v>2014</v>
      </c>
      <c r="C269" t="s">
        <v>40</v>
      </c>
      <c r="D269" s="25">
        <v>41791</v>
      </c>
      <c r="E269" s="26">
        <v>123.1</v>
      </c>
      <c r="F269" s="26">
        <v>125.9</v>
      </c>
      <c r="G269" s="26">
        <v>115.4</v>
      </c>
      <c r="H269" s="26">
        <v>120.4</v>
      </c>
      <c r="I269" s="26">
        <v>103.4</v>
      </c>
      <c r="J269" s="26">
        <v>131.19999999999999</v>
      </c>
      <c r="K269" s="26">
        <v>137.5</v>
      </c>
      <c r="L269" s="26">
        <v>112.8</v>
      </c>
      <c r="M269" s="26">
        <v>101.4</v>
      </c>
      <c r="N269" s="26">
        <v>118.3</v>
      </c>
      <c r="O269" s="26">
        <v>113.2</v>
      </c>
      <c r="P269" s="26">
        <v>122.4</v>
      </c>
      <c r="Q269" s="26">
        <v>122</v>
      </c>
      <c r="R269" s="26">
        <v>119</v>
      </c>
      <c r="S269" s="26">
        <v>117.4</v>
      </c>
      <c r="T269" s="26">
        <v>113.2</v>
      </c>
      <c r="U269" s="26">
        <v>116.7</v>
      </c>
      <c r="V269" s="26">
        <v>113.9</v>
      </c>
      <c r="W269" s="26">
        <v>111.2</v>
      </c>
      <c r="X269" s="26">
        <v>114.3</v>
      </c>
      <c r="Y269" s="26">
        <v>111.4</v>
      </c>
      <c r="Z269" s="26">
        <v>111.5</v>
      </c>
      <c r="AA269" s="26">
        <v>111.8</v>
      </c>
      <c r="AB269" s="26">
        <v>115.1</v>
      </c>
      <c r="AC269" s="26">
        <v>108.7</v>
      </c>
      <c r="AD269" s="26">
        <v>112.2</v>
      </c>
      <c r="AE269" s="26">
        <v>116.4</v>
      </c>
      <c r="AF269" s="26">
        <v>1547</v>
      </c>
      <c r="AG269" s="26">
        <v>347.3</v>
      </c>
      <c r="AH269" s="26">
        <v>339.40000000000003</v>
      </c>
      <c r="AI269" s="26">
        <v>220.10000000000002</v>
      </c>
      <c r="AJ269" s="26">
        <v>224</v>
      </c>
      <c r="AK269" s="26">
        <v>3023.4</v>
      </c>
    </row>
    <row r="270" spans="1:37" x14ac:dyDescent="0.25">
      <c r="A270" t="s">
        <v>34</v>
      </c>
      <c r="B270">
        <v>2014</v>
      </c>
      <c r="C270" t="s">
        <v>41</v>
      </c>
      <c r="D270" s="25">
        <v>41821</v>
      </c>
      <c r="E270" s="26">
        <v>123.8</v>
      </c>
      <c r="F270" s="26">
        <v>126.4</v>
      </c>
      <c r="G270" s="26">
        <v>118</v>
      </c>
      <c r="H270" s="26">
        <v>121.6</v>
      </c>
      <c r="I270" s="26">
        <v>103.5</v>
      </c>
      <c r="J270" s="26">
        <v>133.69999999999999</v>
      </c>
      <c r="K270" s="26">
        <v>172.4</v>
      </c>
      <c r="L270" s="26">
        <v>113.1</v>
      </c>
      <c r="M270" s="26">
        <v>102.7</v>
      </c>
      <c r="N270" s="26">
        <v>120</v>
      </c>
      <c r="O270" s="26">
        <v>113.8</v>
      </c>
      <c r="P270" s="26">
        <v>123.4</v>
      </c>
      <c r="Q270" s="26">
        <v>127.1</v>
      </c>
      <c r="R270" s="26">
        <v>121</v>
      </c>
      <c r="S270" s="26">
        <v>118</v>
      </c>
      <c r="T270" s="26">
        <v>113.6</v>
      </c>
      <c r="U270" s="26">
        <v>117.4</v>
      </c>
      <c r="V270" s="26">
        <v>114.8</v>
      </c>
      <c r="W270" s="26">
        <v>111.6</v>
      </c>
      <c r="X270" s="26">
        <v>114.9</v>
      </c>
      <c r="Y270" s="26">
        <v>111.5</v>
      </c>
      <c r="Z270" s="26">
        <v>113</v>
      </c>
      <c r="AA270" s="26">
        <v>112.4</v>
      </c>
      <c r="AB270" s="26">
        <v>117.8</v>
      </c>
      <c r="AC270" s="26">
        <v>109.7</v>
      </c>
      <c r="AD270" s="26">
        <v>113.5</v>
      </c>
      <c r="AE270" s="26">
        <v>118.9</v>
      </c>
      <c r="AF270" s="26">
        <v>1599.5</v>
      </c>
      <c r="AG270" s="26">
        <v>349</v>
      </c>
      <c r="AH270" s="26">
        <v>341.29999999999995</v>
      </c>
      <c r="AI270" s="26">
        <v>221.2</v>
      </c>
      <c r="AJ270" s="26">
        <v>225.9</v>
      </c>
      <c r="AK270" s="26">
        <v>3088.7000000000003</v>
      </c>
    </row>
    <row r="271" spans="1:37" x14ac:dyDescent="0.25">
      <c r="A271" t="s">
        <v>34</v>
      </c>
      <c r="B271">
        <v>2014</v>
      </c>
      <c r="C271" t="s">
        <v>42</v>
      </c>
      <c r="D271" s="25">
        <v>41852</v>
      </c>
      <c r="E271" s="26">
        <v>124.8</v>
      </c>
      <c r="F271" s="26">
        <v>127.3</v>
      </c>
      <c r="G271" s="26">
        <v>116.5</v>
      </c>
      <c r="H271" s="26">
        <v>122.2</v>
      </c>
      <c r="I271" s="26">
        <v>103.6</v>
      </c>
      <c r="J271" s="26">
        <v>132.69999999999999</v>
      </c>
      <c r="K271" s="26">
        <v>181.9</v>
      </c>
      <c r="L271" s="26">
        <v>115.2</v>
      </c>
      <c r="M271" s="26">
        <v>102.7</v>
      </c>
      <c r="N271" s="26">
        <v>122.1</v>
      </c>
      <c r="O271" s="26">
        <v>114.4</v>
      </c>
      <c r="P271" s="26">
        <v>124.7</v>
      </c>
      <c r="Q271" s="26">
        <v>128.9</v>
      </c>
      <c r="R271" s="26">
        <v>123</v>
      </c>
      <c r="S271" s="26">
        <v>118.6</v>
      </c>
      <c r="T271" s="26">
        <v>114.1</v>
      </c>
      <c r="U271" s="26">
        <v>117.9</v>
      </c>
      <c r="V271" s="26">
        <v>115.5</v>
      </c>
      <c r="W271" s="26">
        <v>111.8</v>
      </c>
      <c r="X271" s="26">
        <v>115.3</v>
      </c>
      <c r="Y271" s="26">
        <v>112.2</v>
      </c>
      <c r="Z271" s="26">
        <v>112.5</v>
      </c>
      <c r="AA271" s="26">
        <v>112.9</v>
      </c>
      <c r="AB271" s="26">
        <v>119.2</v>
      </c>
      <c r="AC271" s="26">
        <v>110.5</v>
      </c>
      <c r="AD271" s="26">
        <v>113.9</v>
      </c>
      <c r="AE271" s="26">
        <v>119.9</v>
      </c>
      <c r="AF271" s="26">
        <v>1617</v>
      </c>
      <c r="AG271" s="26">
        <v>350.6</v>
      </c>
      <c r="AH271" s="26">
        <v>342.6</v>
      </c>
      <c r="AI271" s="26">
        <v>222.7</v>
      </c>
      <c r="AJ271" s="26">
        <v>226.8</v>
      </c>
      <c r="AK271" s="26">
        <v>3114.4</v>
      </c>
    </row>
    <row r="272" spans="1:37" x14ac:dyDescent="0.25">
      <c r="A272" t="s">
        <v>34</v>
      </c>
      <c r="B272">
        <v>2014</v>
      </c>
      <c r="C272" t="s">
        <v>43</v>
      </c>
      <c r="D272" s="25">
        <v>41883</v>
      </c>
      <c r="E272" s="26">
        <v>124.2</v>
      </c>
      <c r="F272" s="26">
        <v>125.4</v>
      </c>
      <c r="G272" s="26">
        <v>116.4</v>
      </c>
      <c r="H272" s="26">
        <v>122.7</v>
      </c>
      <c r="I272" s="26">
        <v>103.5</v>
      </c>
      <c r="J272" s="26">
        <v>124.5</v>
      </c>
      <c r="K272" s="26">
        <v>168.6</v>
      </c>
      <c r="L272" s="26">
        <v>116.9</v>
      </c>
      <c r="M272" s="26">
        <v>101.9</v>
      </c>
      <c r="N272" s="26">
        <v>122.9</v>
      </c>
      <c r="O272" s="26">
        <v>114.8</v>
      </c>
      <c r="P272" s="26">
        <v>125.2</v>
      </c>
      <c r="Q272" s="26">
        <v>126.7</v>
      </c>
      <c r="R272" s="26">
        <v>124.3</v>
      </c>
      <c r="S272" s="26">
        <v>119.2</v>
      </c>
      <c r="T272" s="26">
        <v>114.5</v>
      </c>
      <c r="U272" s="26">
        <v>118.4</v>
      </c>
      <c r="V272" s="26">
        <v>116.1</v>
      </c>
      <c r="W272" s="26">
        <v>111.8</v>
      </c>
      <c r="X272" s="26">
        <v>115.5</v>
      </c>
      <c r="Y272" s="26">
        <v>112.3</v>
      </c>
      <c r="Z272" s="26">
        <v>111.2</v>
      </c>
      <c r="AA272" s="26">
        <v>113.4</v>
      </c>
      <c r="AB272" s="26">
        <v>120</v>
      </c>
      <c r="AC272" s="26">
        <v>110</v>
      </c>
      <c r="AD272" s="26">
        <v>113.6</v>
      </c>
      <c r="AE272" s="26">
        <v>119.2</v>
      </c>
      <c r="AF272" s="26">
        <v>1593.7000000000003</v>
      </c>
      <c r="AG272" s="26">
        <v>352.1</v>
      </c>
      <c r="AH272" s="26">
        <v>343.4</v>
      </c>
      <c r="AI272" s="26">
        <v>222.3</v>
      </c>
      <c r="AJ272" s="26">
        <v>227</v>
      </c>
      <c r="AK272" s="26">
        <v>3094.0000000000005</v>
      </c>
    </row>
    <row r="273" spans="1:37" x14ac:dyDescent="0.25">
      <c r="A273" t="s">
        <v>34</v>
      </c>
      <c r="B273">
        <v>2014</v>
      </c>
      <c r="C273" t="s">
        <v>44</v>
      </c>
      <c r="D273" s="25">
        <v>41913</v>
      </c>
      <c r="E273" s="26">
        <v>124.6</v>
      </c>
      <c r="F273" s="26">
        <v>126.1</v>
      </c>
      <c r="G273" s="26">
        <v>117.8</v>
      </c>
      <c r="H273" s="26">
        <v>123.1</v>
      </c>
      <c r="I273" s="26">
        <v>103.5</v>
      </c>
      <c r="J273" s="26">
        <v>123.5</v>
      </c>
      <c r="K273" s="26">
        <v>159.6</v>
      </c>
      <c r="L273" s="26">
        <v>117.4</v>
      </c>
      <c r="M273" s="26">
        <v>101.2</v>
      </c>
      <c r="N273" s="26">
        <v>123.8</v>
      </c>
      <c r="O273" s="26">
        <v>115.2</v>
      </c>
      <c r="P273" s="26">
        <v>125.9</v>
      </c>
      <c r="Q273" s="26">
        <v>125.8</v>
      </c>
      <c r="R273" s="26">
        <v>124.3</v>
      </c>
      <c r="S273" s="26">
        <v>119.6</v>
      </c>
      <c r="T273" s="26">
        <v>114.9</v>
      </c>
      <c r="U273" s="26">
        <v>118.9</v>
      </c>
      <c r="V273" s="26">
        <v>116.7</v>
      </c>
      <c r="W273" s="26">
        <v>112</v>
      </c>
      <c r="X273" s="26">
        <v>115.8</v>
      </c>
      <c r="Y273" s="26">
        <v>112.6</v>
      </c>
      <c r="Z273" s="26">
        <v>111</v>
      </c>
      <c r="AA273" s="26">
        <v>113.6</v>
      </c>
      <c r="AB273" s="26">
        <v>120.2</v>
      </c>
      <c r="AC273" s="26">
        <v>110.1</v>
      </c>
      <c r="AD273" s="26">
        <v>113.7</v>
      </c>
      <c r="AE273" s="26">
        <v>119.1</v>
      </c>
      <c r="AF273" s="26">
        <v>1587.5</v>
      </c>
      <c r="AG273" s="26">
        <v>353.4</v>
      </c>
      <c r="AH273" s="26">
        <v>344.5</v>
      </c>
      <c r="AI273" s="26">
        <v>222.7</v>
      </c>
      <c r="AJ273" s="26">
        <v>227.3</v>
      </c>
      <c r="AK273" s="26">
        <v>3090.9</v>
      </c>
    </row>
    <row r="274" spans="1:37" x14ac:dyDescent="0.25">
      <c r="A274" t="s">
        <v>34</v>
      </c>
      <c r="B274">
        <v>2014</v>
      </c>
      <c r="C274" t="s">
        <v>46</v>
      </c>
      <c r="D274" s="25">
        <v>41944</v>
      </c>
      <c r="E274" s="26">
        <v>124.5</v>
      </c>
      <c r="F274" s="26">
        <v>125.6</v>
      </c>
      <c r="G274" s="26">
        <v>122.7</v>
      </c>
      <c r="H274" s="26">
        <v>124.6</v>
      </c>
      <c r="I274" s="26">
        <v>103.2</v>
      </c>
      <c r="J274" s="26">
        <v>122.2</v>
      </c>
      <c r="K274" s="26">
        <v>153.19999999999999</v>
      </c>
      <c r="L274" s="26">
        <v>119.3</v>
      </c>
      <c r="M274" s="26">
        <v>99.8</v>
      </c>
      <c r="N274" s="26">
        <v>124.6</v>
      </c>
      <c r="O274" s="26">
        <v>115.8</v>
      </c>
      <c r="P274" s="26">
        <v>126.9</v>
      </c>
      <c r="Q274" s="26">
        <v>125.4</v>
      </c>
      <c r="R274" s="26">
        <v>125.8</v>
      </c>
      <c r="S274" s="26">
        <v>120.3</v>
      </c>
      <c r="T274" s="26">
        <v>115.4</v>
      </c>
      <c r="U274" s="26">
        <v>119.5</v>
      </c>
      <c r="V274" s="26">
        <v>117.1</v>
      </c>
      <c r="W274" s="26">
        <v>112.6</v>
      </c>
      <c r="X274" s="26">
        <v>116.4</v>
      </c>
      <c r="Y274" s="26">
        <v>113</v>
      </c>
      <c r="Z274" s="26">
        <v>109.7</v>
      </c>
      <c r="AA274" s="26">
        <v>114</v>
      </c>
      <c r="AB274" s="26">
        <v>120.3</v>
      </c>
      <c r="AC274" s="26">
        <v>109.6</v>
      </c>
      <c r="AD274" s="26">
        <v>113.4</v>
      </c>
      <c r="AE274" s="26">
        <v>119</v>
      </c>
      <c r="AF274" s="26">
        <v>1587.8</v>
      </c>
      <c r="AG274" s="26">
        <v>355.2</v>
      </c>
      <c r="AH274" s="26">
        <v>346.1</v>
      </c>
      <c r="AI274" s="26">
        <v>222.6</v>
      </c>
      <c r="AJ274" s="26">
        <v>227.4</v>
      </c>
      <c r="AK274" s="26">
        <v>3094.8999999999996</v>
      </c>
    </row>
    <row r="275" spans="1:37" x14ac:dyDescent="0.25">
      <c r="A275" t="s">
        <v>34</v>
      </c>
      <c r="B275">
        <v>2014</v>
      </c>
      <c r="C275" t="s">
        <v>47</v>
      </c>
      <c r="D275" s="25">
        <v>41974</v>
      </c>
      <c r="E275" s="26">
        <v>124</v>
      </c>
      <c r="F275" s="26">
        <v>124.7</v>
      </c>
      <c r="G275" s="26">
        <v>126.3</v>
      </c>
      <c r="H275" s="26">
        <v>124.9</v>
      </c>
      <c r="I275" s="26">
        <v>103</v>
      </c>
      <c r="J275" s="26">
        <v>122.3</v>
      </c>
      <c r="K275" s="26">
        <v>141</v>
      </c>
      <c r="L275" s="26">
        <v>120.1</v>
      </c>
      <c r="M275" s="26">
        <v>97.8</v>
      </c>
      <c r="N275" s="26">
        <v>125.4</v>
      </c>
      <c r="O275" s="26">
        <v>116.1</v>
      </c>
      <c r="P275" s="26">
        <v>127.6</v>
      </c>
      <c r="Q275" s="26">
        <v>124</v>
      </c>
      <c r="R275" s="26">
        <v>126.4</v>
      </c>
      <c r="S275" s="26">
        <v>120.7</v>
      </c>
      <c r="T275" s="26">
        <v>115.8</v>
      </c>
      <c r="U275" s="26">
        <v>120</v>
      </c>
      <c r="V275" s="26">
        <v>116.5</v>
      </c>
      <c r="W275" s="26">
        <v>113</v>
      </c>
      <c r="X275" s="26">
        <v>116.8</v>
      </c>
      <c r="Y275" s="26">
        <v>113.2</v>
      </c>
      <c r="Z275" s="26">
        <v>108.8</v>
      </c>
      <c r="AA275" s="26">
        <v>114.3</v>
      </c>
      <c r="AB275" s="26">
        <v>120.7</v>
      </c>
      <c r="AC275" s="26">
        <v>110.4</v>
      </c>
      <c r="AD275" s="26">
        <v>113.4</v>
      </c>
      <c r="AE275" s="26">
        <v>118.4</v>
      </c>
      <c r="AF275" s="26">
        <v>1577.1999999999998</v>
      </c>
      <c r="AG275" s="26">
        <v>356.5</v>
      </c>
      <c r="AH275" s="26">
        <v>346.3</v>
      </c>
      <c r="AI275" s="26">
        <v>223.60000000000002</v>
      </c>
      <c r="AJ275" s="26">
        <v>227.7</v>
      </c>
      <c r="AK275" s="26">
        <v>3087.2</v>
      </c>
    </row>
    <row r="276" spans="1:37" x14ac:dyDescent="0.25">
      <c r="A276" t="s">
        <v>34</v>
      </c>
      <c r="B276">
        <v>2015</v>
      </c>
      <c r="C276" t="s">
        <v>32</v>
      </c>
      <c r="D276" s="25">
        <v>42005</v>
      </c>
      <c r="E276" s="26">
        <v>124</v>
      </c>
      <c r="F276" s="26">
        <v>125.5</v>
      </c>
      <c r="G276" s="26">
        <v>126.6</v>
      </c>
      <c r="H276" s="26">
        <v>125.2</v>
      </c>
      <c r="I276" s="26">
        <v>104.3</v>
      </c>
      <c r="J276" s="26">
        <v>121.3</v>
      </c>
      <c r="K276" s="26">
        <v>134.4</v>
      </c>
      <c r="L276" s="26">
        <v>122.9</v>
      </c>
      <c r="M276" s="26">
        <v>96.1</v>
      </c>
      <c r="N276" s="26">
        <v>126.6</v>
      </c>
      <c r="O276" s="26">
        <v>116.5</v>
      </c>
      <c r="P276" s="26">
        <v>128</v>
      </c>
      <c r="Q276" s="26">
        <v>123.5</v>
      </c>
      <c r="R276" s="26">
        <v>127.4</v>
      </c>
      <c r="S276" s="26">
        <v>121</v>
      </c>
      <c r="T276" s="26">
        <v>116.1</v>
      </c>
      <c r="U276" s="26">
        <v>120.2</v>
      </c>
      <c r="V276" s="26">
        <v>117.3</v>
      </c>
      <c r="W276" s="26">
        <v>113.4</v>
      </c>
      <c r="X276" s="26">
        <v>117.2</v>
      </c>
      <c r="Y276" s="26">
        <v>113.7</v>
      </c>
      <c r="Z276" s="26">
        <v>107.9</v>
      </c>
      <c r="AA276" s="26">
        <v>114.6</v>
      </c>
      <c r="AB276" s="26">
        <v>120.8</v>
      </c>
      <c r="AC276" s="26">
        <v>111.4</v>
      </c>
      <c r="AD276" s="26">
        <v>113.4</v>
      </c>
      <c r="AE276" s="26">
        <v>118.5</v>
      </c>
      <c r="AF276" s="26">
        <v>1574.8999999999999</v>
      </c>
      <c r="AG276" s="26">
        <v>357.3</v>
      </c>
      <c r="AH276" s="26">
        <v>347.9</v>
      </c>
      <c r="AI276" s="26">
        <v>225.10000000000002</v>
      </c>
      <c r="AJ276" s="26">
        <v>228</v>
      </c>
      <c r="AK276" s="26">
        <v>3089.3</v>
      </c>
    </row>
    <row r="277" spans="1:37" x14ac:dyDescent="0.25">
      <c r="A277" t="s">
        <v>34</v>
      </c>
      <c r="B277">
        <v>2015</v>
      </c>
      <c r="C277" t="s">
        <v>36</v>
      </c>
      <c r="D277" s="25">
        <v>42036</v>
      </c>
      <c r="E277" s="26">
        <v>124.3</v>
      </c>
      <c r="F277" s="26">
        <v>126.5</v>
      </c>
      <c r="G277" s="26">
        <v>119.5</v>
      </c>
      <c r="H277" s="26">
        <v>125.6</v>
      </c>
      <c r="I277" s="26">
        <v>104.9</v>
      </c>
      <c r="J277" s="26">
        <v>121.6</v>
      </c>
      <c r="K277" s="26">
        <v>131.80000000000001</v>
      </c>
      <c r="L277" s="26">
        <v>125.1</v>
      </c>
      <c r="M277" s="26">
        <v>95</v>
      </c>
      <c r="N277" s="26">
        <v>127.7</v>
      </c>
      <c r="O277" s="26">
        <v>116.8</v>
      </c>
      <c r="P277" s="26">
        <v>128.6</v>
      </c>
      <c r="Q277" s="26">
        <v>123.7</v>
      </c>
      <c r="R277" s="26">
        <v>128.1</v>
      </c>
      <c r="S277" s="26">
        <v>121.3</v>
      </c>
      <c r="T277" s="26">
        <v>116.5</v>
      </c>
      <c r="U277" s="26">
        <v>120.6</v>
      </c>
      <c r="V277" s="26">
        <v>118.1</v>
      </c>
      <c r="W277" s="26">
        <v>114</v>
      </c>
      <c r="X277" s="26">
        <v>117.7</v>
      </c>
      <c r="Y277" s="26">
        <v>114.1</v>
      </c>
      <c r="Z277" s="26">
        <v>106.8</v>
      </c>
      <c r="AA277" s="26">
        <v>114.9</v>
      </c>
      <c r="AB277" s="26">
        <v>120.4</v>
      </c>
      <c r="AC277" s="26">
        <v>111.7</v>
      </c>
      <c r="AD277" s="26">
        <v>113.2</v>
      </c>
      <c r="AE277" s="26">
        <v>118.7</v>
      </c>
      <c r="AF277" s="26">
        <v>1571.1000000000001</v>
      </c>
      <c r="AG277" s="26">
        <v>358.4</v>
      </c>
      <c r="AH277" s="26">
        <v>349.8</v>
      </c>
      <c r="AI277" s="26">
        <v>225.8</v>
      </c>
      <c r="AJ277" s="26">
        <v>228.10000000000002</v>
      </c>
      <c r="AK277" s="26">
        <v>3088.5000000000005</v>
      </c>
    </row>
    <row r="278" spans="1:37" x14ac:dyDescent="0.25">
      <c r="A278" t="s">
        <v>34</v>
      </c>
      <c r="B278">
        <v>2015</v>
      </c>
      <c r="C278" t="s">
        <v>37</v>
      </c>
      <c r="D278" s="25">
        <v>42064</v>
      </c>
      <c r="E278" s="26">
        <v>124</v>
      </c>
      <c r="F278" s="26">
        <v>126.7</v>
      </c>
      <c r="G278" s="26">
        <v>113.5</v>
      </c>
      <c r="H278" s="26">
        <v>125.9</v>
      </c>
      <c r="I278" s="26">
        <v>104.8</v>
      </c>
      <c r="J278" s="26">
        <v>123.8</v>
      </c>
      <c r="K278" s="26">
        <v>131.4</v>
      </c>
      <c r="L278" s="26">
        <v>127.2</v>
      </c>
      <c r="M278" s="26">
        <v>93.2</v>
      </c>
      <c r="N278" s="26">
        <v>127.4</v>
      </c>
      <c r="O278" s="26">
        <v>117</v>
      </c>
      <c r="P278" s="26">
        <v>129.19999999999999</v>
      </c>
      <c r="Q278" s="26">
        <v>123.9</v>
      </c>
      <c r="R278" s="26">
        <v>128.80000000000001</v>
      </c>
      <c r="S278" s="26">
        <v>121.7</v>
      </c>
      <c r="T278" s="26">
        <v>116.9</v>
      </c>
      <c r="U278" s="26">
        <v>120.9</v>
      </c>
      <c r="V278" s="26">
        <v>118.6</v>
      </c>
      <c r="W278" s="26">
        <v>114.4</v>
      </c>
      <c r="X278" s="26">
        <v>118</v>
      </c>
      <c r="Y278" s="26">
        <v>114.3</v>
      </c>
      <c r="Z278" s="26">
        <v>108.4</v>
      </c>
      <c r="AA278" s="26">
        <v>115.4</v>
      </c>
      <c r="AB278" s="26">
        <v>120.6</v>
      </c>
      <c r="AC278" s="26">
        <v>111.3</v>
      </c>
      <c r="AD278" s="26">
        <v>113.8</v>
      </c>
      <c r="AE278" s="26">
        <v>119.1</v>
      </c>
      <c r="AF278" s="26">
        <v>1568.0000000000002</v>
      </c>
      <c r="AG278" s="26">
        <v>359.5</v>
      </c>
      <c r="AH278" s="26">
        <v>351</v>
      </c>
      <c r="AI278" s="26">
        <v>225.6</v>
      </c>
      <c r="AJ278" s="26">
        <v>229.2</v>
      </c>
      <c r="AK278" s="26">
        <v>3091.1</v>
      </c>
    </row>
    <row r="279" spans="1:37" x14ac:dyDescent="0.25">
      <c r="A279" t="s">
        <v>34</v>
      </c>
      <c r="B279">
        <v>2015</v>
      </c>
      <c r="C279" t="s">
        <v>38</v>
      </c>
      <c r="D279" s="25">
        <v>42095</v>
      </c>
      <c r="E279" s="26">
        <v>123.8</v>
      </c>
      <c r="F279" s="26">
        <v>128.19999999999999</v>
      </c>
      <c r="G279" s="26">
        <v>110</v>
      </c>
      <c r="H279" s="26">
        <v>126.3</v>
      </c>
      <c r="I279" s="26">
        <v>104.5</v>
      </c>
      <c r="J279" s="26">
        <v>130.6</v>
      </c>
      <c r="K279" s="26">
        <v>130.80000000000001</v>
      </c>
      <c r="L279" s="26">
        <v>131.30000000000001</v>
      </c>
      <c r="M279" s="26">
        <v>91.6</v>
      </c>
      <c r="N279" s="26">
        <v>127.7</v>
      </c>
      <c r="O279" s="26">
        <v>117.2</v>
      </c>
      <c r="P279" s="26">
        <v>129.5</v>
      </c>
      <c r="Q279" s="26">
        <v>124.6</v>
      </c>
      <c r="R279" s="26">
        <v>130.1</v>
      </c>
      <c r="S279" s="26">
        <v>122.1</v>
      </c>
      <c r="T279" s="26">
        <v>117.2</v>
      </c>
      <c r="U279" s="26">
        <v>121.3</v>
      </c>
      <c r="V279" s="26">
        <v>119.2</v>
      </c>
      <c r="W279" s="26">
        <v>114.7</v>
      </c>
      <c r="X279" s="26">
        <v>118.4</v>
      </c>
      <c r="Y279" s="26">
        <v>114.6</v>
      </c>
      <c r="Z279" s="26">
        <v>108.4</v>
      </c>
      <c r="AA279" s="26">
        <v>115.6</v>
      </c>
      <c r="AB279" s="26">
        <v>121.7</v>
      </c>
      <c r="AC279" s="26">
        <v>111.8</v>
      </c>
      <c r="AD279" s="26">
        <v>114.2</v>
      </c>
      <c r="AE279" s="26">
        <v>119.7</v>
      </c>
      <c r="AF279" s="26">
        <v>1576.1</v>
      </c>
      <c r="AG279" s="26">
        <v>360.6</v>
      </c>
      <c r="AH279" s="26">
        <v>352.3</v>
      </c>
      <c r="AI279" s="26">
        <v>226.39999999999998</v>
      </c>
      <c r="AJ279" s="26">
        <v>229.8</v>
      </c>
      <c r="AK279" s="26">
        <v>3105.4000000000005</v>
      </c>
    </row>
    <row r="280" spans="1:37" x14ac:dyDescent="0.25">
      <c r="A280" t="s">
        <v>34</v>
      </c>
      <c r="B280">
        <v>2015</v>
      </c>
      <c r="C280" t="s">
        <v>39</v>
      </c>
      <c r="D280" s="25">
        <v>42125</v>
      </c>
      <c r="E280" s="26">
        <v>123.8</v>
      </c>
      <c r="F280" s="26">
        <v>129.69999999999999</v>
      </c>
      <c r="G280" s="26">
        <v>111.3</v>
      </c>
      <c r="H280" s="26">
        <v>126.6</v>
      </c>
      <c r="I280" s="26">
        <v>105.2</v>
      </c>
      <c r="J280" s="26">
        <v>130.80000000000001</v>
      </c>
      <c r="K280" s="26">
        <v>135.6</v>
      </c>
      <c r="L280" s="26">
        <v>142.6</v>
      </c>
      <c r="M280" s="26">
        <v>90.8</v>
      </c>
      <c r="N280" s="26">
        <v>128.80000000000001</v>
      </c>
      <c r="O280" s="26">
        <v>117.7</v>
      </c>
      <c r="P280" s="26">
        <v>129.9</v>
      </c>
      <c r="Q280" s="26">
        <v>126.1</v>
      </c>
      <c r="R280" s="26">
        <v>131.30000000000001</v>
      </c>
      <c r="S280" s="26">
        <v>122.4</v>
      </c>
      <c r="T280" s="26">
        <v>117.4</v>
      </c>
      <c r="U280" s="26">
        <v>121.6</v>
      </c>
      <c r="V280" s="26">
        <v>119.6</v>
      </c>
      <c r="W280" s="26">
        <v>114.9</v>
      </c>
      <c r="X280" s="26">
        <v>118.7</v>
      </c>
      <c r="Y280" s="26">
        <v>114.9</v>
      </c>
      <c r="Z280" s="26">
        <v>110.8</v>
      </c>
      <c r="AA280" s="26">
        <v>116</v>
      </c>
      <c r="AB280" s="26">
        <v>122</v>
      </c>
      <c r="AC280" s="26">
        <v>112.4</v>
      </c>
      <c r="AD280" s="26">
        <v>115.2</v>
      </c>
      <c r="AE280" s="26">
        <v>120.7</v>
      </c>
      <c r="AF280" s="26">
        <v>1598.9</v>
      </c>
      <c r="AG280" s="26">
        <v>361.4</v>
      </c>
      <c r="AH280" s="26">
        <v>353.2</v>
      </c>
      <c r="AI280" s="26">
        <v>227.3</v>
      </c>
      <c r="AJ280" s="26">
        <v>231.2</v>
      </c>
      <c r="AK280" s="26">
        <v>3136.1</v>
      </c>
    </row>
    <row r="281" spans="1:37" x14ac:dyDescent="0.25">
      <c r="A281" t="s">
        <v>34</v>
      </c>
      <c r="B281">
        <v>2015</v>
      </c>
      <c r="C281" t="s">
        <v>40</v>
      </c>
      <c r="D281" s="25">
        <v>42156</v>
      </c>
      <c r="E281" s="26">
        <v>123.6</v>
      </c>
      <c r="F281" s="26">
        <v>134.4</v>
      </c>
      <c r="G281" s="26">
        <v>120.9</v>
      </c>
      <c r="H281" s="26">
        <v>127.3</v>
      </c>
      <c r="I281" s="26">
        <v>106</v>
      </c>
      <c r="J281" s="26">
        <v>132.30000000000001</v>
      </c>
      <c r="K281" s="26">
        <v>146.69999999999999</v>
      </c>
      <c r="L281" s="26">
        <v>148.1</v>
      </c>
      <c r="M281" s="26">
        <v>89.8</v>
      </c>
      <c r="N281" s="26">
        <v>130.5</v>
      </c>
      <c r="O281" s="26">
        <v>118</v>
      </c>
      <c r="P281" s="26">
        <v>130.5</v>
      </c>
      <c r="Q281" s="26">
        <v>128.5</v>
      </c>
      <c r="R281" s="26">
        <v>132.1</v>
      </c>
      <c r="S281" s="26">
        <v>123.2</v>
      </c>
      <c r="T281" s="26">
        <v>117.6</v>
      </c>
      <c r="U281" s="26">
        <v>122.3</v>
      </c>
      <c r="V281" s="26">
        <v>119</v>
      </c>
      <c r="W281" s="26">
        <v>115.1</v>
      </c>
      <c r="X281" s="26">
        <v>119.2</v>
      </c>
      <c r="Y281" s="26">
        <v>115.4</v>
      </c>
      <c r="Z281" s="26">
        <v>111.7</v>
      </c>
      <c r="AA281" s="26">
        <v>116.2</v>
      </c>
      <c r="AB281" s="26">
        <v>123.8</v>
      </c>
      <c r="AC281" s="26">
        <v>112.5</v>
      </c>
      <c r="AD281" s="26">
        <v>116</v>
      </c>
      <c r="AE281" s="26">
        <v>121.7</v>
      </c>
      <c r="AF281" s="26">
        <v>1636.6</v>
      </c>
      <c r="AG281" s="26">
        <v>363.1</v>
      </c>
      <c r="AH281" s="26">
        <v>353.3</v>
      </c>
      <c r="AI281" s="26">
        <v>227.9</v>
      </c>
      <c r="AJ281" s="26">
        <v>232.2</v>
      </c>
      <c r="AK281" s="26">
        <v>3180.7</v>
      </c>
    </row>
    <row r="282" spans="1:37" x14ac:dyDescent="0.25">
      <c r="A282" t="s">
        <v>34</v>
      </c>
      <c r="B282">
        <v>2015</v>
      </c>
      <c r="C282" t="s">
        <v>41</v>
      </c>
      <c r="D282" s="25">
        <v>42186</v>
      </c>
      <c r="E282" s="26">
        <v>123.2</v>
      </c>
      <c r="F282" s="26">
        <v>134.30000000000001</v>
      </c>
      <c r="G282" s="26">
        <v>119.5</v>
      </c>
      <c r="H282" s="26">
        <v>127.7</v>
      </c>
      <c r="I282" s="26">
        <v>106.3</v>
      </c>
      <c r="J282" s="26">
        <v>132.80000000000001</v>
      </c>
      <c r="K282" s="26">
        <v>153.5</v>
      </c>
      <c r="L282" s="26">
        <v>149.5</v>
      </c>
      <c r="M282" s="26">
        <v>85.7</v>
      </c>
      <c r="N282" s="26">
        <v>131.5</v>
      </c>
      <c r="O282" s="26">
        <v>118.3</v>
      </c>
      <c r="P282" s="26">
        <v>131.1</v>
      </c>
      <c r="Q282" s="26">
        <v>129.5</v>
      </c>
      <c r="R282" s="26">
        <v>133.1</v>
      </c>
      <c r="S282" s="26">
        <v>123.5</v>
      </c>
      <c r="T282" s="26">
        <v>117.9</v>
      </c>
      <c r="U282" s="26">
        <v>122.7</v>
      </c>
      <c r="V282" s="26">
        <v>119.9</v>
      </c>
      <c r="W282" s="26">
        <v>115.3</v>
      </c>
      <c r="X282" s="26">
        <v>119.5</v>
      </c>
      <c r="Y282" s="26">
        <v>116</v>
      </c>
      <c r="Z282" s="26">
        <v>111.5</v>
      </c>
      <c r="AA282" s="26">
        <v>116.6</v>
      </c>
      <c r="AB282" s="26">
        <v>125.4</v>
      </c>
      <c r="AC282" s="26">
        <v>111.7</v>
      </c>
      <c r="AD282" s="26">
        <v>116.3</v>
      </c>
      <c r="AE282" s="26">
        <v>122.4</v>
      </c>
      <c r="AF282" s="26">
        <v>1642.8999999999999</v>
      </c>
      <c r="AG282" s="26">
        <v>364.1</v>
      </c>
      <c r="AH282" s="26">
        <v>354.7</v>
      </c>
      <c r="AI282" s="26">
        <v>227.7</v>
      </c>
      <c r="AJ282" s="26">
        <v>232.89999999999998</v>
      </c>
      <c r="AK282" s="26">
        <v>3192.2999999999997</v>
      </c>
    </row>
    <row r="283" spans="1:37" x14ac:dyDescent="0.25">
      <c r="A283" t="s">
        <v>34</v>
      </c>
      <c r="B283">
        <v>2015</v>
      </c>
      <c r="C283" t="s">
        <v>42</v>
      </c>
      <c r="D283" s="25">
        <v>42217</v>
      </c>
      <c r="E283" s="26">
        <v>123.1</v>
      </c>
      <c r="F283" s="26">
        <v>131.69999999999999</v>
      </c>
      <c r="G283" s="26">
        <v>118.1</v>
      </c>
      <c r="H283" s="26">
        <v>128</v>
      </c>
      <c r="I283" s="26">
        <v>106.8</v>
      </c>
      <c r="J283" s="26">
        <v>130.1</v>
      </c>
      <c r="K283" s="26">
        <v>165.5</v>
      </c>
      <c r="L283" s="26">
        <v>156</v>
      </c>
      <c r="M283" s="26">
        <v>85.3</v>
      </c>
      <c r="N283" s="26">
        <v>132.69999999999999</v>
      </c>
      <c r="O283" s="26">
        <v>118.8</v>
      </c>
      <c r="P283" s="26">
        <v>131.69999999999999</v>
      </c>
      <c r="Q283" s="26">
        <v>131.1</v>
      </c>
      <c r="R283" s="26">
        <v>134.19999999999999</v>
      </c>
      <c r="S283" s="26">
        <v>123.7</v>
      </c>
      <c r="T283" s="26">
        <v>118.2</v>
      </c>
      <c r="U283" s="26">
        <v>122.9</v>
      </c>
      <c r="V283" s="26">
        <v>120.9</v>
      </c>
      <c r="W283" s="26">
        <v>115.3</v>
      </c>
      <c r="X283" s="26">
        <v>120</v>
      </c>
      <c r="Y283" s="26">
        <v>116.6</v>
      </c>
      <c r="Z283" s="26">
        <v>109.9</v>
      </c>
      <c r="AA283" s="26">
        <v>117.2</v>
      </c>
      <c r="AB283" s="26">
        <v>126.2</v>
      </c>
      <c r="AC283" s="26">
        <v>112</v>
      </c>
      <c r="AD283" s="26">
        <v>116.2</v>
      </c>
      <c r="AE283" s="26">
        <v>123.2</v>
      </c>
      <c r="AF283" s="26">
        <v>1658.8999999999999</v>
      </c>
      <c r="AG283" s="26">
        <v>364.8</v>
      </c>
      <c r="AH283" s="26">
        <v>356.2</v>
      </c>
      <c r="AI283" s="26">
        <v>228.6</v>
      </c>
      <c r="AJ283" s="26">
        <v>233.4</v>
      </c>
      <c r="AK283" s="26">
        <v>3212.2</v>
      </c>
    </row>
    <row r="284" spans="1:37" x14ac:dyDescent="0.25">
      <c r="A284" t="s">
        <v>34</v>
      </c>
      <c r="B284">
        <v>2015</v>
      </c>
      <c r="C284" t="s">
        <v>43</v>
      </c>
      <c r="D284" s="25">
        <v>42248</v>
      </c>
      <c r="E284" s="26">
        <v>123.4</v>
      </c>
      <c r="F284" s="26">
        <v>129</v>
      </c>
      <c r="G284" s="26">
        <v>115.6</v>
      </c>
      <c r="H284" s="26">
        <v>128.30000000000001</v>
      </c>
      <c r="I284" s="26">
        <v>107</v>
      </c>
      <c r="J284" s="26">
        <v>124</v>
      </c>
      <c r="K284" s="26">
        <v>168.5</v>
      </c>
      <c r="L284" s="26">
        <v>165.4</v>
      </c>
      <c r="M284" s="26">
        <v>86.3</v>
      </c>
      <c r="N284" s="26">
        <v>134.4</v>
      </c>
      <c r="O284" s="26">
        <v>119.1</v>
      </c>
      <c r="P284" s="26">
        <v>132.30000000000001</v>
      </c>
      <c r="Q284" s="26">
        <v>131.5</v>
      </c>
      <c r="R284" s="26">
        <v>134.69999999999999</v>
      </c>
      <c r="S284" s="26">
        <v>124</v>
      </c>
      <c r="T284" s="26">
        <v>118.6</v>
      </c>
      <c r="U284" s="26">
        <v>123.2</v>
      </c>
      <c r="V284" s="26">
        <v>121.6</v>
      </c>
      <c r="W284" s="26">
        <v>115.1</v>
      </c>
      <c r="X284" s="26">
        <v>120.4</v>
      </c>
      <c r="Y284" s="26">
        <v>117.1</v>
      </c>
      <c r="Z284" s="26">
        <v>109.1</v>
      </c>
      <c r="AA284" s="26">
        <v>117.3</v>
      </c>
      <c r="AB284" s="26">
        <v>126.5</v>
      </c>
      <c r="AC284" s="26">
        <v>112.9</v>
      </c>
      <c r="AD284" s="26">
        <v>116.2</v>
      </c>
      <c r="AE284" s="26">
        <v>123.5</v>
      </c>
      <c r="AF284" s="26">
        <v>1664.8</v>
      </c>
      <c r="AG284" s="26">
        <v>365.8</v>
      </c>
      <c r="AH284" s="26">
        <v>357.1</v>
      </c>
      <c r="AI284" s="26">
        <v>230</v>
      </c>
      <c r="AJ284" s="26">
        <v>233.5</v>
      </c>
      <c r="AK284" s="26">
        <v>3221.5</v>
      </c>
    </row>
    <row r="285" spans="1:37" x14ac:dyDescent="0.25">
      <c r="A285" t="s">
        <v>34</v>
      </c>
      <c r="B285">
        <v>2015</v>
      </c>
      <c r="C285" t="s">
        <v>44</v>
      </c>
      <c r="D285" s="25">
        <v>42278</v>
      </c>
      <c r="E285" s="26">
        <v>123.6</v>
      </c>
      <c r="F285" s="26">
        <v>128.6</v>
      </c>
      <c r="G285" s="26">
        <v>115.9</v>
      </c>
      <c r="H285" s="26">
        <v>128.5</v>
      </c>
      <c r="I285" s="26">
        <v>109</v>
      </c>
      <c r="J285" s="26">
        <v>124.1</v>
      </c>
      <c r="K285" s="26">
        <v>165.8</v>
      </c>
      <c r="L285" s="26">
        <v>187.2</v>
      </c>
      <c r="M285" s="26">
        <v>89.4</v>
      </c>
      <c r="N285" s="26">
        <v>135.80000000000001</v>
      </c>
      <c r="O285" s="26">
        <v>119.4</v>
      </c>
      <c r="P285" s="26">
        <v>132.9</v>
      </c>
      <c r="Q285" s="26">
        <v>132.6</v>
      </c>
      <c r="R285" s="26">
        <v>135.30000000000001</v>
      </c>
      <c r="S285" s="26">
        <v>124.4</v>
      </c>
      <c r="T285" s="26">
        <v>118.8</v>
      </c>
      <c r="U285" s="26">
        <v>123.6</v>
      </c>
      <c r="V285" s="26">
        <v>122.4</v>
      </c>
      <c r="W285" s="26">
        <v>114.9</v>
      </c>
      <c r="X285" s="26">
        <v>120.7</v>
      </c>
      <c r="Y285" s="26">
        <v>117.7</v>
      </c>
      <c r="Z285" s="26">
        <v>109.3</v>
      </c>
      <c r="AA285" s="26">
        <v>117.7</v>
      </c>
      <c r="AB285" s="26">
        <v>126.5</v>
      </c>
      <c r="AC285" s="26">
        <v>113.5</v>
      </c>
      <c r="AD285" s="26">
        <v>116.5</v>
      </c>
      <c r="AE285" s="26">
        <v>124.2</v>
      </c>
      <c r="AF285" s="26">
        <v>1692.8000000000002</v>
      </c>
      <c r="AG285" s="26">
        <v>366.79999999999995</v>
      </c>
      <c r="AH285" s="26">
        <v>358</v>
      </c>
      <c r="AI285" s="26">
        <v>231.2</v>
      </c>
      <c r="AJ285" s="26">
        <v>234.2</v>
      </c>
      <c r="AK285" s="26">
        <v>3254.0999999999995</v>
      </c>
    </row>
    <row r="286" spans="1:37" x14ac:dyDescent="0.25">
      <c r="A286" t="s">
        <v>34</v>
      </c>
      <c r="B286">
        <v>2015</v>
      </c>
      <c r="C286" t="s">
        <v>46</v>
      </c>
      <c r="D286" s="25">
        <v>42309</v>
      </c>
      <c r="E286" s="26">
        <v>124</v>
      </c>
      <c r="F286" s="26">
        <v>129.80000000000001</v>
      </c>
      <c r="G286" s="26">
        <v>121.5</v>
      </c>
      <c r="H286" s="26">
        <v>128.6</v>
      </c>
      <c r="I286" s="26">
        <v>110</v>
      </c>
      <c r="J286" s="26">
        <v>123.7</v>
      </c>
      <c r="K286" s="26">
        <v>164.6</v>
      </c>
      <c r="L286" s="26">
        <v>191.6</v>
      </c>
      <c r="M286" s="26">
        <v>90.8</v>
      </c>
      <c r="N286" s="26">
        <v>137.1</v>
      </c>
      <c r="O286" s="26">
        <v>119.8</v>
      </c>
      <c r="P286" s="26">
        <v>133.69999999999999</v>
      </c>
      <c r="Q286" s="26">
        <v>133.30000000000001</v>
      </c>
      <c r="R286" s="26">
        <v>137.6</v>
      </c>
      <c r="S286" s="26">
        <v>125</v>
      </c>
      <c r="T286" s="26">
        <v>119.3</v>
      </c>
      <c r="U286" s="26">
        <v>124.2</v>
      </c>
      <c r="V286" s="26">
        <v>122.9</v>
      </c>
      <c r="W286" s="26">
        <v>115.1</v>
      </c>
      <c r="X286" s="26">
        <v>121</v>
      </c>
      <c r="Y286" s="26">
        <v>118.1</v>
      </c>
      <c r="Z286" s="26">
        <v>109.3</v>
      </c>
      <c r="AA286" s="26">
        <v>117.9</v>
      </c>
      <c r="AB286" s="26">
        <v>126.6</v>
      </c>
      <c r="AC286" s="26">
        <v>113.3</v>
      </c>
      <c r="AD286" s="26">
        <v>116.6</v>
      </c>
      <c r="AE286" s="26">
        <v>124.6</v>
      </c>
      <c r="AF286" s="26">
        <v>1708.4999999999998</v>
      </c>
      <c r="AG286" s="26">
        <v>368.5</v>
      </c>
      <c r="AH286" s="26">
        <v>359</v>
      </c>
      <c r="AI286" s="26">
        <v>231.39999999999998</v>
      </c>
      <c r="AJ286" s="26">
        <v>234.5</v>
      </c>
      <c r="AK286" s="26">
        <v>3275.4</v>
      </c>
    </row>
    <row r="287" spans="1:37" x14ac:dyDescent="0.25">
      <c r="A287" t="s">
        <v>34</v>
      </c>
      <c r="B287">
        <v>2015</v>
      </c>
      <c r="C287" t="s">
        <v>47</v>
      </c>
      <c r="D287" s="25">
        <v>42339</v>
      </c>
      <c r="E287" s="26">
        <v>124.3</v>
      </c>
      <c r="F287" s="26">
        <v>131.69999999999999</v>
      </c>
      <c r="G287" s="26">
        <v>127.1</v>
      </c>
      <c r="H287" s="26">
        <v>128.6</v>
      </c>
      <c r="I287" s="26">
        <v>110</v>
      </c>
      <c r="J287" s="26">
        <v>120.8</v>
      </c>
      <c r="K287" s="26">
        <v>149</v>
      </c>
      <c r="L287" s="26">
        <v>190.1</v>
      </c>
      <c r="M287" s="26">
        <v>92.7</v>
      </c>
      <c r="N287" s="26">
        <v>138.6</v>
      </c>
      <c r="O287" s="26">
        <v>120.2</v>
      </c>
      <c r="P287" s="26">
        <v>134.19999999999999</v>
      </c>
      <c r="Q287" s="26">
        <v>131.5</v>
      </c>
      <c r="R287" s="26">
        <v>138.19999999999999</v>
      </c>
      <c r="S287" s="26">
        <v>125.4</v>
      </c>
      <c r="T287" s="26">
        <v>119.5</v>
      </c>
      <c r="U287" s="26">
        <v>124.5</v>
      </c>
      <c r="V287" s="26">
        <v>122.4</v>
      </c>
      <c r="W287" s="26">
        <v>116</v>
      </c>
      <c r="X287" s="26">
        <v>121</v>
      </c>
      <c r="Y287" s="26">
        <v>118.6</v>
      </c>
      <c r="Z287" s="26">
        <v>109.3</v>
      </c>
      <c r="AA287" s="26">
        <v>118.1</v>
      </c>
      <c r="AB287" s="26">
        <v>126.6</v>
      </c>
      <c r="AC287" s="26">
        <v>113.2</v>
      </c>
      <c r="AD287" s="26">
        <v>116.7</v>
      </c>
      <c r="AE287" s="26">
        <v>124</v>
      </c>
      <c r="AF287" s="26">
        <v>1698.8</v>
      </c>
      <c r="AG287" s="26">
        <v>369.4</v>
      </c>
      <c r="AH287" s="26">
        <v>359.4</v>
      </c>
      <c r="AI287" s="26">
        <v>231.8</v>
      </c>
      <c r="AJ287" s="26">
        <v>234.8</v>
      </c>
      <c r="AK287" s="26">
        <v>3268.3000000000006</v>
      </c>
    </row>
    <row r="288" spans="1:37" x14ac:dyDescent="0.25">
      <c r="A288" t="s">
        <v>34</v>
      </c>
      <c r="B288">
        <v>2016</v>
      </c>
      <c r="C288" t="s">
        <v>32</v>
      </c>
      <c r="D288" s="25">
        <v>42370</v>
      </c>
      <c r="E288" s="26">
        <v>124.7</v>
      </c>
      <c r="F288" s="26">
        <v>135.9</v>
      </c>
      <c r="G288" s="26">
        <v>132</v>
      </c>
      <c r="H288" s="26">
        <v>129.19999999999999</v>
      </c>
      <c r="I288" s="26">
        <v>109.7</v>
      </c>
      <c r="J288" s="26">
        <v>119</v>
      </c>
      <c r="K288" s="26">
        <v>144.1</v>
      </c>
      <c r="L288" s="26">
        <v>184.2</v>
      </c>
      <c r="M288" s="26">
        <v>96.7</v>
      </c>
      <c r="N288" s="26">
        <v>139.5</v>
      </c>
      <c r="O288" s="26">
        <v>120.5</v>
      </c>
      <c r="P288" s="26">
        <v>134.69999999999999</v>
      </c>
      <c r="Q288" s="26">
        <v>131.19999999999999</v>
      </c>
      <c r="R288" s="26">
        <v>139.5</v>
      </c>
      <c r="S288" s="26">
        <v>125.8</v>
      </c>
      <c r="T288" s="26">
        <v>119.8</v>
      </c>
      <c r="U288" s="26">
        <v>124.9</v>
      </c>
      <c r="V288" s="26">
        <v>123.4</v>
      </c>
      <c r="W288" s="26">
        <v>116.9</v>
      </c>
      <c r="X288" s="26">
        <v>121.6</v>
      </c>
      <c r="Y288" s="26">
        <v>119.1</v>
      </c>
      <c r="Z288" s="26">
        <v>108.9</v>
      </c>
      <c r="AA288" s="26">
        <v>118.5</v>
      </c>
      <c r="AB288" s="26">
        <v>126.4</v>
      </c>
      <c r="AC288" s="26">
        <v>114</v>
      </c>
      <c r="AD288" s="26">
        <v>116.8</v>
      </c>
      <c r="AE288" s="26">
        <v>124.2</v>
      </c>
      <c r="AF288" s="26">
        <v>1701.4</v>
      </c>
      <c r="AG288" s="26">
        <v>370.5</v>
      </c>
      <c r="AH288" s="26">
        <v>361.9</v>
      </c>
      <c r="AI288" s="26">
        <v>233.1</v>
      </c>
      <c r="AJ288" s="26">
        <v>235.3</v>
      </c>
      <c r="AK288" s="26">
        <v>3277.0000000000005</v>
      </c>
    </row>
    <row r="289" spans="1:37" x14ac:dyDescent="0.25">
      <c r="A289" t="s">
        <v>34</v>
      </c>
      <c r="B289">
        <v>2016</v>
      </c>
      <c r="C289" t="s">
        <v>36</v>
      </c>
      <c r="D289" s="25">
        <v>42401</v>
      </c>
      <c r="E289" s="26">
        <v>124.8</v>
      </c>
      <c r="F289" s="26">
        <v>135.1</v>
      </c>
      <c r="G289" s="26">
        <v>130.30000000000001</v>
      </c>
      <c r="H289" s="26">
        <v>129.6</v>
      </c>
      <c r="I289" s="26">
        <v>108.4</v>
      </c>
      <c r="J289" s="26">
        <v>118.6</v>
      </c>
      <c r="K289" s="26">
        <v>129.19999999999999</v>
      </c>
      <c r="L289" s="26">
        <v>176.4</v>
      </c>
      <c r="M289" s="26">
        <v>99.1</v>
      </c>
      <c r="N289" s="26">
        <v>139.69999999999999</v>
      </c>
      <c r="O289" s="26">
        <v>120.6</v>
      </c>
      <c r="P289" s="26">
        <v>135.19999999999999</v>
      </c>
      <c r="Q289" s="26">
        <v>129.1</v>
      </c>
      <c r="R289" s="26">
        <v>140</v>
      </c>
      <c r="S289" s="26">
        <v>126.2</v>
      </c>
      <c r="T289" s="26">
        <v>120.1</v>
      </c>
      <c r="U289" s="26">
        <v>125.3</v>
      </c>
      <c r="V289" s="26">
        <v>124.4</v>
      </c>
      <c r="W289" s="26">
        <v>116</v>
      </c>
      <c r="X289" s="26">
        <v>121.8</v>
      </c>
      <c r="Y289" s="26">
        <v>119.5</v>
      </c>
      <c r="Z289" s="26">
        <v>109.1</v>
      </c>
      <c r="AA289" s="26">
        <v>118.8</v>
      </c>
      <c r="AB289" s="26">
        <v>126.3</v>
      </c>
      <c r="AC289" s="26">
        <v>116.2</v>
      </c>
      <c r="AD289" s="26">
        <v>117.2</v>
      </c>
      <c r="AE289" s="26">
        <v>123.8</v>
      </c>
      <c r="AF289" s="26">
        <v>1676.1</v>
      </c>
      <c r="AG289" s="26">
        <v>371.6</v>
      </c>
      <c r="AH289" s="26">
        <v>362.2</v>
      </c>
      <c r="AI289" s="26">
        <v>235.7</v>
      </c>
      <c r="AJ289" s="26">
        <v>236</v>
      </c>
      <c r="AK289" s="26">
        <v>3256.9999999999995</v>
      </c>
    </row>
    <row r="290" spans="1:37" x14ac:dyDescent="0.25">
      <c r="A290" t="s">
        <v>34</v>
      </c>
      <c r="B290">
        <v>2016</v>
      </c>
      <c r="C290" t="s">
        <v>37</v>
      </c>
      <c r="D290" s="25">
        <v>42430</v>
      </c>
      <c r="E290" s="26">
        <v>124.8</v>
      </c>
      <c r="F290" s="26">
        <v>136.30000000000001</v>
      </c>
      <c r="G290" s="26">
        <v>123.7</v>
      </c>
      <c r="H290" s="26">
        <v>129.69999999999999</v>
      </c>
      <c r="I290" s="26">
        <v>107.9</v>
      </c>
      <c r="J290" s="26">
        <v>119.9</v>
      </c>
      <c r="K290" s="26">
        <v>128.1</v>
      </c>
      <c r="L290" s="26">
        <v>170.3</v>
      </c>
      <c r="M290" s="26">
        <v>101.8</v>
      </c>
      <c r="N290" s="26">
        <v>140.1</v>
      </c>
      <c r="O290" s="26">
        <v>120.7</v>
      </c>
      <c r="P290" s="26">
        <v>135.4</v>
      </c>
      <c r="Q290" s="26">
        <v>128.9</v>
      </c>
      <c r="R290" s="26">
        <v>140.6</v>
      </c>
      <c r="S290" s="26">
        <v>126.4</v>
      </c>
      <c r="T290" s="26">
        <v>120.3</v>
      </c>
      <c r="U290" s="26">
        <v>125.5</v>
      </c>
      <c r="V290" s="26">
        <v>124.9</v>
      </c>
      <c r="W290" s="26">
        <v>114.8</v>
      </c>
      <c r="X290" s="26">
        <v>122.3</v>
      </c>
      <c r="Y290" s="26">
        <v>119.7</v>
      </c>
      <c r="Z290" s="26">
        <v>108.5</v>
      </c>
      <c r="AA290" s="26">
        <v>119.1</v>
      </c>
      <c r="AB290" s="26">
        <v>126.4</v>
      </c>
      <c r="AC290" s="26">
        <v>117.1</v>
      </c>
      <c r="AD290" s="26">
        <v>117.3</v>
      </c>
      <c r="AE290" s="26">
        <v>123.8</v>
      </c>
      <c r="AF290" s="26">
        <v>1667.6000000000001</v>
      </c>
      <c r="AG290" s="26">
        <v>372.2</v>
      </c>
      <c r="AH290" s="26">
        <v>362</v>
      </c>
      <c r="AI290" s="26">
        <v>236.8</v>
      </c>
      <c r="AJ290" s="26">
        <v>236.39999999999998</v>
      </c>
      <c r="AK290" s="26">
        <v>3250.5000000000005</v>
      </c>
    </row>
    <row r="291" spans="1:37" x14ac:dyDescent="0.25">
      <c r="A291" t="s">
        <v>34</v>
      </c>
      <c r="B291">
        <v>2016</v>
      </c>
      <c r="C291" t="s">
        <v>38</v>
      </c>
      <c r="D291" s="25">
        <v>42461</v>
      </c>
      <c r="E291" s="26">
        <v>124.9</v>
      </c>
      <c r="F291" s="26">
        <v>139.30000000000001</v>
      </c>
      <c r="G291" s="26">
        <v>119.9</v>
      </c>
      <c r="H291" s="26">
        <v>130.19999999999999</v>
      </c>
      <c r="I291" s="26">
        <v>108.9</v>
      </c>
      <c r="J291" s="26">
        <v>131.1</v>
      </c>
      <c r="K291" s="26">
        <v>136.80000000000001</v>
      </c>
      <c r="L291" s="26">
        <v>176.9</v>
      </c>
      <c r="M291" s="26">
        <v>109.1</v>
      </c>
      <c r="N291" s="26">
        <v>140.4</v>
      </c>
      <c r="O291" s="26">
        <v>121.1</v>
      </c>
      <c r="P291" s="26">
        <v>135.9</v>
      </c>
      <c r="Q291" s="26">
        <v>131.80000000000001</v>
      </c>
      <c r="R291" s="26">
        <v>141.5</v>
      </c>
      <c r="S291" s="26">
        <v>126.8</v>
      </c>
      <c r="T291" s="26">
        <v>120.5</v>
      </c>
      <c r="U291" s="26">
        <v>125.8</v>
      </c>
      <c r="V291" s="26">
        <v>125.6</v>
      </c>
      <c r="W291" s="26">
        <v>114.6</v>
      </c>
      <c r="X291" s="26">
        <v>122.8</v>
      </c>
      <c r="Y291" s="26">
        <v>120</v>
      </c>
      <c r="Z291" s="26">
        <v>110</v>
      </c>
      <c r="AA291" s="26">
        <v>119.5</v>
      </c>
      <c r="AB291" s="26">
        <v>127.6</v>
      </c>
      <c r="AC291" s="26">
        <v>117.6</v>
      </c>
      <c r="AD291" s="26">
        <v>118.2</v>
      </c>
      <c r="AE291" s="26">
        <v>125.3</v>
      </c>
      <c r="AF291" s="26">
        <v>1706.3</v>
      </c>
      <c r="AG291" s="26">
        <v>373.1</v>
      </c>
      <c r="AH291" s="26">
        <v>363</v>
      </c>
      <c r="AI291" s="26">
        <v>237.6</v>
      </c>
      <c r="AJ291" s="26">
        <v>237.7</v>
      </c>
      <c r="AK291" s="26">
        <v>3296.7999999999997</v>
      </c>
    </row>
    <row r="292" spans="1:37" x14ac:dyDescent="0.25">
      <c r="A292" t="s">
        <v>34</v>
      </c>
      <c r="B292">
        <v>2016</v>
      </c>
      <c r="C292" t="s">
        <v>39</v>
      </c>
      <c r="D292" s="25">
        <v>42491</v>
      </c>
      <c r="E292" s="26">
        <v>125</v>
      </c>
      <c r="F292" s="26">
        <v>142.1</v>
      </c>
      <c r="G292" s="26">
        <v>127</v>
      </c>
      <c r="H292" s="26">
        <v>130.4</v>
      </c>
      <c r="I292" s="26">
        <v>109.6</v>
      </c>
      <c r="J292" s="26">
        <v>133.5</v>
      </c>
      <c r="K292" s="26">
        <v>151.4</v>
      </c>
      <c r="L292" s="26">
        <v>182.8</v>
      </c>
      <c r="M292" s="26">
        <v>111.1</v>
      </c>
      <c r="N292" s="26">
        <v>141.5</v>
      </c>
      <c r="O292" s="26">
        <v>121.5</v>
      </c>
      <c r="P292" s="26">
        <v>136.30000000000001</v>
      </c>
      <c r="Q292" s="26">
        <v>134.6</v>
      </c>
      <c r="R292" s="26">
        <v>142.19999999999999</v>
      </c>
      <c r="S292" s="26">
        <v>127.2</v>
      </c>
      <c r="T292" s="26">
        <v>120.7</v>
      </c>
      <c r="U292" s="26">
        <v>126.2</v>
      </c>
      <c r="V292" s="26">
        <v>126</v>
      </c>
      <c r="W292" s="26">
        <v>115</v>
      </c>
      <c r="X292" s="26">
        <v>123.2</v>
      </c>
      <c r="Y292" s="26">
        <v>120.3</v>
      </c>
      <c r="Z292" s="26">
        <v>110.7</v>
      </c>
      <c r="AA292" s="26">
        <v>119.8</v>
      </c>
      <c r="AB292" s="26">
        <v>128</v>
      </c>
      <c r="AC292" s="26">
        <v>118.5</v>
      </c>
      <c r="AD292" s="26">
        <v>118.7</v>
      </c>
      <c r="AE292" s="26">
        <v>126.6</v>
      </c>
      <c r="AF292" s="26">
        <v>1746.7999999999997</v>
      </c>
      <c r="AG292" s="26">
        <v>374.1</v>
      </c>
      <c r="AH292" s="26">
        <v>364.2</v>
      </c>
      <c r="AI292" s="26">
        <v>238.8</v>
      </c>
      <c r="AJ292" s="26">
        <v>238.5</v>
      </c>
      <c r="AK292" s="26">
        <v>3343.2999999999997</v>
      </c>
    </row>
    <row r="293" spans="1:37" x14ac:dyDescent="0.25">
      <c r="A293" t="s">
        <v>34</v>
      </c>
      <c r="B293">
        <v>2016</v>
      </c>
      <c r="C293" t="s">
        <v>40</v>
      </c>
      <c r="D293" s="25">
        <v>42522</v>
      </c>
      <c r="E293" s="26">
        <v>125.9</v>
      </c>
      <c r="F293" s="26">
        <v>143.9</v>
      </c>
      <c r="G293" s="26">
        <v>130.9</v>
      </c>
      <c r="H293" s="26">
        <v>131</v>
      </c>
      <c r="I293" s="26">
        <v>110.2</v>
      </c>
      <c r="J293" s="26">
        <v>135.5</v>
      </c>
      <c r="K293" s="26">
        <v>173.7</v>
      </c>
      <c r="L293" s="26">
        <v>184.4</v>
      </c>
      <c r="M293" s="26">
        <v>112</v>
      </c>
      <c r="N293" s="26">
        <v>142.80000000000001</v>
      </c>
      <c r="O293" s="26">
        <v>121.6</v>
      </c>
      <c r="P293" s="26">
        <v>136.9</v>
      </c>
      <c r="Q293" s="26">
        <v>138.19999999999999</v>
      </c>
      <c r="R293" s="26">
        <v>142.69999999999999</v>
      </c>
      <c r="S293" s="26">
        <v>127.6</v>
      </c>
      <c r="T293" s="26">
        <v>121.1</v>
      </c>
      <c r="U293" s="26">
        <v>126.6</v>
      </c>
      <c r="V293" s="26">
        <v>125.5</v>
      </c>
      <c r="W293" s="26">
        <v>115.5</v>
      </c>
      <c r="X293" s="26">
        <v>123.2</v>
      </c>
      <c r="Y293" s="26">
        <v>120.6</v>
      </c>
      <c r="Z293" s="26">
        <v>112.3</v>
      </c>
      <c r="AA293" s="26">
        <v>119.9</v>
      </c>
      <c r="AB293" s="26">
        <v>129.30000000000001</v>
      </c>
      <c r="AC293" s="26">
        <v>118.8</v>
      </c>
      <c r="AD293" s="26">
        <v>119.6</v>
      </c>
      <c r="AE293" s="26">
        <v>128.1</v>
      </c>
      <c r="AF293" s="26">
        <v>1787.0000000000002</v>
      </c>
      <c r="AG293" s="26">
        <v>375.29999999999995</v>
      </c>
      <c r="AH293" s="26">
        <v>364.2</v>
      </c>
      <c r="AI293" s="26">
        <v>239.39999999999998</v>
      </c>
      <c r="AJ293" s="26">
        <v>239.5</v>
      </c>
      <c r="AK293" s="26">
        <v>3389.7000000000003</v>
      </c>
    </row>
    <row r="294" spans="1:37" x14ac:dyDescent="0.25">
      <c r="A294" t="s">
        <v>34</v>
      </c>
      <c r="B294">
        <v>2016</v>
      </c>
      <c r="C294" t="s">
        <v>41</v>
      </c>
      <c r="D294" s="25">
        <v>42552</v>
      </c>
      <c r="E294" s="26">
        <v>126.8</v>
      </c>
      <c r="F294" s="26">
        <v>144.19999999999999</v>
      </c>
      <c r="G294" s="26">
        <v>136.6</v>
      </c>
      <c r="H294" s="26">
        <v>131.80000000000001</v>
      </c>
      <c r="I294" s="26">
        <v>111</v>
      </c>
      <c r="J294" s="26">
        <v>137</v>
      </c>
      <c r="K294" s="26">
        <v>179.5</v>
      </c>
      <c r="L294" s="26">
        <v>188.4</v>
      </c>
      <c r="M294" s="26">
        <v>113.3</v>
      </c>
      <c r="N294" s="26">
        <v>143.9</v>
      </c>
      <c r="O294" s="26">
        <v>121.7</v>
      </c>
      <c r="P294" s="26">
        <v>137.5</v>
      </c>
      <c r="Q294" s="26">
        <v>139.80000000000001</v>
      </c>
      <c r="R294" s="26">
        <v>142.9</v>
      </c>
      <c r="S294" s="26">
        <v>127.9</v>
      </c>
      <c r="T294" s="26">
        <v>121.1</v>
      </c>
      <c r="U294" s="26">
        <v>126.9</v>
      </c>
      <c r="V294" s="26">
        <v>126.4</v>
      </c>
      <c r="W294" s="26">
        <v>115.5</v>
      </c>
      <c r="X294" s="26">
        <v>123.5</v>
      </c>
      <c r="Y294" s="26">
        <v>120.9</v>
      </c>
      <c r="Z294" s="26">
        <v>111.7</v>
      </c>
      <c r="AA294" s="26">
        <v>120.3</v>
      </c>
      <c r="AB294" s="26">
        <v>130.80000000000001</v>
      </c>
      <c r="AC294" s="26">
        <v>120</v>
      </c>
      <c r="AD294" s="26">
        <v>119.9</v>
      </c>
      <c r="AE294" s="26">
        <v>129</v>
      </c>
      <c r="AF294" s="26">
        <v>1811.5000000000002</v>
      </c>
      <c r="AG294" s="26">
        <v>375.9</v>
      </c>
      <c r="AH294" s="26">
        <v>365.4</v>
      </c>
      <c r="AI294" s="26">
        <v>240.9</v>
      </c>
      <c r="AJ294" s="26">
        <v>240.2</v>
      </c>
      <c r="AK294" s="26">
        <v>3419.3</v>
      </c>
    </row>
    <row r="295" spans="1:37" x14ac:dyDescent="0.25">
      <c r="A295" t="s">
        <v>34</v>
      </c>
      <c r="B295">
        <v>2016</v>
      </c>
      <c r="C295" t="s">
        <v>42</v>
      </c>
      <c r="D295" s="25">
        <v>42583</v>
      </c>
      <c r="E295" s="26">
        <v>127.6</v>
      </c>
      <c r="F295" s="26">
        <v>140.30000000000001</v>
      </c>
      <c r="G295" s="26">
        <v>133.69999999999999</v>
      </c>
      <c r="H295" s="26">
        <v>132.19999999999999</v>
      </c>
      <c r="I295" s="26">
        <v>111.8</v>
      </c>
      <c r="J295" s="26">
        <v>135.80000000000001</v>
      </c>
      <c r="K295" s="26">
        <v>163.5</v>
      </c>
      <c r="L295" s="26">
        <v>182.3</v>
      </c>
      <c r="M295" s="26">
        <v>114.6</v>
      </c>
      <c r="N295" s="26">
        <v>144.6</v>
      </c>
      <c r="O295" s="26">
        <v>121.9</v>
      </c>
      <c r="P295" s="26">
        <v>138.1</v>
      </c>
      <c r="Q295" s="26">
        <v>137.6</v>
      </c>
      <c r="R295" s="26">
        <v>143.6</v>
      </c>
      <c r="S295" s="26">
        <v>128.30000000000001</v>
      </c>
      <c r="T295" s="26">
        <v>121.4</v>
      </c>
      <c r="U295" s="26">
        <v>127.3</v>
      </c>
      <c r="V295" s="26">
        <v>127.3</v>
      </c>
      <c r="W295" s="26">
        <v>114.7</v>
      </c>
      <c r="X295" s="26">
        <v>123.9</v>
      </c>
      <c r="Y295" s="26">
        <v>121.2</v>
      </c>
      <c r="Z295" s="26">
        <v>110.4</v>
      </c>
      <c r="AA295" s="26">
        <v>120.6</v>
      </c>
      <c r="AB295" s="26">
        <v>131.5</v>
      </c>
      <c r="AC295" s="26">
        <v>120.9</v>
      </c>
      <c r="AD295" s="26">
        <v>119.9</v>
      </c>
      <c r="AE295" s="26">
        <v>128.4</v>
      </c>
      <c r="AF295" s="26">
        <v>1783.9999999999995</v>
      </c>
      <c r="AG295" s="26">
        <v>377</v>
      </c>
      <c r="AH295" s="26">
        <v>365.9</v>
      </c>
      <c r="AI295" s="26">
        <v>242.10000000000002</v>
      </c>
      <c r="AJ295" s="26">
        <v>240.5</v>
      </c>
      <c r="AK295" s="26">
        <v>3394.9999999999995</v>
      </c>
    </row>
    <row r="296" spans="1:37" x14ac:dyDescent="0.25">
      <c r="A296" t="s">
        <v>34</v>
      </c>
      <c r="B296">
        <v>2016</v>
      </c>
      <c r="C296" t="s">
        <v>43</v>
      </c>
      <c r="D296" s="25">
        <v>42614</v>
      </c>
      <c r="E296" s="26">
        <v>128.1</v>
      </c>
      <c r="F296" s="26">
        <v>137.69999999999999</v>
      </c>
      <c r="G296" s="26">
        <v>130.6</v>
      </c>
      <c r="H296" s="26">
        <v>132.6</v>
      </c>
      <c r="I296" s="26">
        <v>111.9</v>
      </c>
      <c r="J296" s="26">
        <v>132.5</v>
      </c>
      <c r="K296" s="26">
        <v>152.9</v>
      </c>
      <c r="L296" s="26">
        <v>173.6</v>
      </c>
      <c r="M296" s="26">
        <v>115.1</v>
      </c>
      <c r="N296" s="26">
        <v>144.80000000000001</v>
      </c>
      <c r="O296" s="26">
        <v>122.1</v>
      </c>
      <c r="P296" s="26">
        <v>138.80000000000001</v>
      </c>
      <c r="Q296" s="26">
        <v>135.69999999999999</v>
      </c>
      <c r="R296" s="26">
        <v>143.9</v>
      </c>
      <c r="S296" s="26">
        <v>128.69999999999999</v>
      </c>
      <c r="T296" s="26">
        <v>121.6</v>
      </c>
      <c r="U296" s="26">
        <v>127.7</v>
      </c>
      <c r="V296" s="26">
        <v>127.9</v>
      </c>
      <c r="W296" s="26">
        <v>114.8</v>
      </c>
      <c r="X296" s="26">
        <v>124.3</v>
      </c>
      <c r="Y296" s="26">
        <v>121.4</v>
      </c>
      <c r="Z296" s="26">
        <v>111.8</v>
      </c>
      <c r="AA296" s="26">
        <v>120.8</v>
      </c>
      <c r="AB296" s="26">
        <v>131.6</v>
      </c>
      <c r="AC296" s="26">
        <v>121.2</v>
      </c>
      <c r="AD296" s="26">
        <v>120.5</v>
      </c>
      <c r="AE296" s="26">
        <v>128</v>
      </c>
      <c r="AF296" s="26">
        <v>1756.3999999999996</v>
      </c>
      <c r="AG296" s="26">
        <v>378</v>
      </c>
      <c r="AH296" s="26">
        <v>367</v>
      </c>
      <c r="AI296" s="26">
        <v>242.60000000000002</v>
      </c>
      <c r="AJ296" s="26">
        <v>241.3</v>
      </c>
      <c r="AK296" s="26">
        <v>3372.6</v>
      </c>
    </row>
    <row r="297" spans="1:37" x14ac:dyDescent="0.25">
      <c r="A297" t="s">
        <v>34</v>
      </c>
      <c r="B297">
        <v>2016</v>
      </c>
      <c r="C297" t="s">
        <v>44</v>
      </c>
      <c r="D297" s="25">
        <v>42644</v>
      </c>
      <c r="E297" s="26">
        <v>128.69999999999999</v>
      </c>
      <c r="F297" s="26">
        <v>138.4</v>
      </c>
      <c r="G297" s="26">
        <v>130.30000000000001</v>
      </c>
      <c r="H297" s="26">
        <v>132.69999999999999</v>
      </c>
      <c r="I297" s="26">
        <v>112.5</v>
      </c>
      <c r="J297" s="26">
        <v>130.4</v>
      </c>
      <c r="K297" s="26">
        <v>155.1</v>
      </c>
      <c r="L297" s="26">
        <v>175.7</v>
      </c>
      <c r="M297" s="26">
        <v>115.4</v>
      </c>
      <c r="N297" s="26">
        <v>145.30000000000001</v>
      </c>
      <c r="O297" s="26">
        <v>122.5</v>
      </c>
      <c r="P297" s="26">
        <v>139.6</v>
      </c>
      <c r="Q297" s="26">
        <v>136.30000000000001</v>
      </c>
      <c r="R297" s="26">
        <v>144.30000000000001</v>
      </c>
      <c r="S297" s="26">
        <v>129.1</v>
      </c>
      <c r="T297" s="26">
        <v>121.9</v>
      </c>
      <c r="U297" s="26">
        <v>128</v>
      </c>
      <c r="V297" s="26">
        <v>128.69999999999999</v>
      </c>
      <c r="W297" s="26">
        <v>115.2</v>
      </c>
      <c r="X297" s="26">
        <v>124.5</v>
      </c>
      <c r="Y297" s="26">
        <v>121.8</v>
      </c>
      <c r="Z297" s="26">
        <v>112.8</v>
      </c>
      <c r="AA297" s="26">
        <v>121.2</v>
      </c>
      <c r="AB297" s="26">
        <v>131.9</v>
      </c>
      <c r="AC297" s="26">
        <v>120.8</v>
      </c>
      <c r="AD297" s="26">
        <v>120.9</v>
      </c>
      <c r="AE297" s="26">
        <v>128.6</v>
      </c>
      <c r="AF297" s="26">
        <v>1762.8999999999999</v>
      </c>
      <c r="AG297" s="26">
        <v>379</v>
      </c>
      <c r="AH297" s="26">
        <v>368.4</v>
      </c>
      <c r="AI297" s="26">
        <v>242.6</v>
      </c>
      <c r="AJ297" s="26">
        <v>242.10000000000002</v>
      </c>
      <c r="AK297" s="26">
        <v>3383.9999999999995</v>
      </c>
    </row>
    <row r="298" spans="1:37" x14ac:dyDescent="0.25">
      <c r="A298" t="s">
        <v>34</v>
      </c>
      <c r="B298">
        <v>2016</v>
      </c>
      <c r="C298" t="s">
        <v>46</v>
      </c>
      <c r="D298" s="25">
        <v>42675</v>
      </c>
      <c r="E298" s="26">
        <v>130.19999999999999</v>
      </c>
      <c r="F298" s="26">
        <v>138.5</v>
      </c>
      <c r="G298" s="26">
        <v>134.1</v>
      </c>
      <c r="H298" s="26">
        <v>132.9</v>
      </c>
      <c r="I298" s="26">
        <v>112.6</v>
      </c>
      <c r="J298" s="26">
        <v>130.80000000000001</v>
      </c>
      <c r="K298" s="26">
        <v>142</v>
      </c>
      <c r="L298" s="26">
        <v>174.9</v>
      </c>
      <c r="M298" s="26">
        <v>115.6</v>
      </c>
      <c r="N298" s="26">
        <v>145.4</v>
      </c>
      <c r="O298" s="26">
        <v>122.7</v>
      </c>
      <c r="P298" s="26">
        <v>140.30000000000001</v>
      </c>
      <c r="Q298" s="26">
        <v>135.19999999999999</v>
      </c>
      <c r="R298" s="26">
        <v>144.30000000000001</v>
      </c>
      <c r="S298" s="26">
        <v>129.6</v>
      </c>
      <c r="T298" s="26">
        <v>122.1</v>
      </c>
      <c r="U298" s="26">
        <v>128.5</v>
      </c>
      <c r="V298" s="26">
        <v>129.1</v>
      </c>
      <c r="W298" s="26">
        <v>116.2</v>
      </c>
      <c r="X298" s="26">
        <v>124.7</v>
      </c>
      <c r="Y298" s="26">
        <v>122.1</v>
      </c>
      <c r="Z298" s="26">
        <v>113.4</v>
      </c>
      <c r="AA298" s="26">
        <v>121.7</v>
      </c>
      <c r="AB298" s="26">
        <v>132.1</v>
      </c>
      <c r="AC298" s="26">
        <v>121.3</v>
      </c>
      <c r="AD298" s="26">
        <v>121.3</v>
      </c>
      <c r="AE298" s="26">
        <v>128.5</v>
      </c>
      <c r="AF298" s="26">
        <v>1755.2</v>
      </c>
      <c r="AG298" s="26">
        <v>380.2</v>
      </c>
      <c r="AH298" s="26">
        <v>370</v>
      </c>
      <c r="AI298" s="26">
        <v>243.39999999999998</v>
      </c>
      <c r="AJ298" s="26">
        <v>243</v>
      </c>
      <c r="AK298" s="26">
        <v>3381.6</v>
      </c>
    </row>
    <row r="299" spans="1:37" x14ac:dyDescent="0.25">
      <c r="A299" t="s">
        <v>34</v>
      </c>
      <c r="B299">
        <v>2016</v>
      </c>
      <c r="C299" t="s">
        <v>47</v>
      </c>
      <c r="D299" s="25">
        <v>42705</v>
      </c>
      <c r="E299" s="26">
        <v>131.6</v>
      </c>
      <c r="F299" s="26">
        <v>138.19999999999999</v>
      </c>
      <c r="G299" s="26">
        <v>134.9</v>
      </c>
      <c r="H299" s="26">
        <v>133.1</v>
      </c>
      <c r="I299" s="26">
        <v>113.5</v>
      </c>
      <c r="J299" s="26">
        <v>129.30000000000001</v>
      </c>
      <c r="K299" s="26">
        <v>121.1</v>
      </c>
      <c r="L299" s="26">
        <v>170.3</v>
      </c>
      <c r="M299" s="26">
        <v>115.5</v>
      </c>
      <c r="N299" s="26">
        <v>145.5</v>
      </c>
      <c r="O299" s="26">
        <v>123.1</v>
      </c>
      <c r="P299" s="26">
        <v>140.9</v>
      </c>
      <c r="Q299" s="26">
        <v>132.80000000000001</v>
      </c>
      <c r="R299" s="26">
        <v>145</v>
      </c>
      <c r="S299" s="26">
        <v>130</v>
      </c>
      <c r="T299" s="26">
        <v>122.2</v>
      </c>
      <c r="U299" s="26">
        <v>128.80000000000001</v>
      </c>
      <c r="V299" s="26">
        <v>128.5</v>
      </c>
      <c r="W299" s="26">
        <v>117.8</v>
      </c>
      <c r="X299" s="26">
        <v>125</v>
      </c>
      <c r="Y299" s="26">
        <v>122.3</v>
      </c>
      <c r="Z299" s="26">
        <v>113.7</v>
      </c>
      <c r="AA299" s="26">
        <v>121.8</v>
      </c>
      <c r="AB299" s="26">
        <v>132.30000000000001</v>
      </c>
      <c r="AC299" s="26">
        <v>119.9</v>
      </c>
      <c r="AD299" s="26">
        <v>121.4</v>
      </c>
      <c r="AE299" s="26">
        <v>127.6</v>
      </c>
      <c r="AF299" s="26">
        <v>1729.8</v>
      </c>
      <c r="AG299" s="26">
        <v>381</v>
      </c>
      <c r="AH299" s="26">
        <v>371.3</v>
      </c>
      <c r="AI299" s="26">
        <v>242.2</v>
      </c>
      <c r="AJ299" s="26">
        <v>243.2</v>
      </c>
      <c r="AK299" s="26">
        <v>3358.5</v>
      </c>
    </row>
    <row r="300" spans="1:37" x14ac:dyDescent="0.25">
      <c r="A300" t="s">
        <v>34</v>
      </c>
      <c r="B300">
        <v>2017</v>
      </c>
      <c r="C300" t="s">
        <v>32</v>
      </c>
      <c r="D300" s="25">
        <v>42736</v>
      </c>
      <c r="E300" s="26">
        <v>132.19999999999999</v>
      </c>
      <c r="F300" s="26">
        <v>138.9</v>
      </c>
      <c r="G300" s="26">
        <v>132.6</v>
      </c>
      <c r="H300" s="26">
        <v>133.1</v>
      </c>
      <c r="I300" s="26">
        <v>114</v>
      </c>
      <c r="J300" s="26">
        <v>129.6</v>
      </c>
      <c r="K300" s="26">
        <v>118.7</v>
      </c>
      <c r="L300" s="26">
        <v>155.1</v>
      </c>
      <c r="M300" s="26">
        <v>117.3</v>
      </c>
      <c r="N300" s="26">
        <v>144.9</v>
      </c>
      <c r="O300" s="26">
        <v>123.2</v>
      </c>
      <c r="P300" s="26">
        <v>141.6</v>
      </c>
      <c r="Q300" s="26">
        <v>132</v>
      </c>
      <c r="R300" s="26">
        <v>145.6</v>
      </c>
      <c r="S300" s="26">
        <v>130.19999999999999</v>
      </c>
      <c r="T300" s="26">
        <v>122.3</v>
      </c>
      <c r="U300" s="26">
        <v>129</v>
      </c>
      <c r="V300" s="26">
        <v>129.6</v>
      </c>
      <c r="W300" s="26">
        <v>118</v>
      </c>
      <c r="X300" s="26">
        <v>125.1</v>
      </c>
      <c r="Y300" s="26">
        <v>122.6</v>
      </c>
      <c r="Z300" s="26">
        <v>115.2</v>
      </c>
      <c r="AA300" s="26">
        <v>122</v>
      </c>
      <c r="AB300" s="26">
        <v>132.4</v>
      </c>
      <c r="AC300" s="26">
        <v>120.9</v>
      </c>
      <c r="AD300" s="26">
        <v>122.1</v>
      </c>
      <c r="AE300" s="26">
        <v>127.8</v>
      </c>
      <c r="AF300" s="26">
        <v>1713.2</v>
      </c>
      <c r="AG300" s="26">
        <v>381.5</v>
      </c>
      <c r="AH300" s="26">
        <v>372.7</v>
      </c>
      <c r="AI300" s="26">
        <v>243.5</v>
      </c>
      <c r="AJ300" s="26">
        <v>244.1</v>
      </c>
      <c r="AK300" s="26">
        <v>3348.2</v>
      </c>
    </row>
    <row r="301" spans="1:37" x14ac:dyDescent="0.25">
      <c r="A301" t="s">
        <v>34</v>
      </c>
      <c r="B301">
        <v>2017</v>
      </c>
      <c r="C301" t="s">
        <v>36</v>
      </c>
      <c r="D301" s="25">
        <v>42767</v>
      </c>
      <c r="E301" s="26">
        <v>132.80000000000001</v>
      </c>
      <c r="F301" s="26">
        <v>139.80000000000001</v>
      </c>
      <c r="G301" s="26">
        <v>129.30000000000001</v>
      </c>
      <c r="H301" s="26">
        <v>133.5</v>
      </c>
      <c r="I301" s="26">
        <v>114.3</v>
      </c>
      <c r="J301" s="26">
        <v>131.4</v>
      </c>
      <c r="K301" s="26">
        <v>120.2</v>
      </c>
      <c r="L301" s="26">
        <v>143.1</v>
      </c>
      <c r="M301" s="26">
        <v>119.5</v>
      </c>
      <c r="N301" s="26">
        <v>144</v>
      </c>
      <c r="O301" s="26">
        <v>123.4</v>
      </c>
      <c r="P301" s="26">
        <v>141.9</v>
      </c>
      <c r="Q301" s="26">
        <v>132.1</v>
      </c>
      <c r="R301" s="26">
        <v>146.30000000000001</v>
      </c>
      <c r="S301" s="26">
        <v>130.5</v>
      </c>
      <c r="T301" s="26">
        <v>122.5</v>
      </c>
      <c r="U301" s="26">
        <v>129.30000000000001</v>
      </c>
      <c r="V301" s="26">
        <v>130.5</v>
      </c>
      <c r="W301" s="26">
        <v>119.2</v>
      </c>
      <c r="X301" s="26">
        <v>125.3</v>
      </c>
      <c r="Y301" s="26">
        <v>122.9</v>
      </c>
      <c r="Z301" s="26">
        <v>115.5</v>
      </c>
      <c r="AA301" s="26">
        <v>122.2</v>
      </c>
      <c r="AB301" s="26">
        <v>132.4</v>
      </c>
      <c r="AC301" s="26">
        <v>121.7</v>
      </c>
      <c r="AD301" s="26">
        <v>122.4</v>
      </c>
      <c r="AE301" s="26">
        <v>128.19999999999999</v>
      </c>
      <c r="AF301" s="26">
        <v>1705.3000000000002</v>
      </c>
      <c r="AG301" s="26">
        <v>382.3</v>
      </c>
      <c r="AH301" s="26">
        <v>375</v>
      </c>
      <c r="AI301" s="26">
        <v>244.60000000000002</v>
      </c>
      <c r="AJ301" s="26">
        <v>244.60000000000002</v>
      </c>
      <c r="AK301" s="26">
        <v>3346</v>
      </c>
    </row>
    <row r="302" spans="1:37" x14ac:dyDescent="0.25">
      <c r="A302" t="s">
        <v>34</v>
      </c>
      <c r="B302">
        <v>2017</v>
      </c>
      <c r="C302" t="s">
        <v>37</v>
      </c>
      <c r="D302" s="25">
        <v>42795</v>
      </c>
      <c r="E302" s="26">
        <v>132.69999999999999</v>
      </c>
      <c r="F302" s="26">
        <v>139.4</v>
      </c>
      <c r="G302" s="26">
        <v>128.4</v>
      </c>
      <c r="H302" s="26">
        <v>134.9</v>
      </c>
      <c r="I302" s="26">
        <v>114</v>
      </c>
      <c r="J302" s="26">
        <v>136.80000000000001</v>
      </c>
      <c r="K302" s="26">
        <v>122.2</v>
      </c>
      <c r="L302" s="26">
        <v>135.80000000000001</v>
      </c>
      <c r="M302" s="26">
        <v>120.3</v>
      </c>
      <c r="N302" s="26">
        <v>142.6</v>
      </c>
      <c r="O302" s="26">
        <v>123.6</v>
      </c>
      <c r="P302" s="26">
        <v>142.4</v>
      </c>
      <c r="Q302" s="26">
        <v>132.6</v>
      </c>
      <c r="R302" s="26">
        <v>147.5</v>
      </c>
      <c r="S302" s="26">
        <v>130.80000000000001</v>
      </c>
      <c r="T302" s="26">
        <v>122.8</v>
      </c>
      <c r="U302" s="26">
        <v>129.6</v>
      </c>
      <c r="V302" s="26">
        <v>131.1</v>
      </c>
      <c r="W302" s="26">
        <v>120.8</v>
      </c>
      <c r="X302" s="26">
        <v>125.6</v>
      </c>
      <c r="Y302" s="26">
        <v>123.1</v>
      </c>
      <c r="Z302" s="26">
        <v>115.6</v>
      </c>
      <c r="AA302" s="26">
        <v>122.4</v>
      </c>
      <c r="AB302" s="26">
        <v>132.80000000000001</v>
      </c>
      <c r="AC302" s="26">
        <v>121.7</v>
      </c>
      <c r="AD302" s="26">
        <v>122.6</v>
      </c>
      <c r="AE302" s="26">
        <v>128.69999999999999</v>
      </c>
      <c r="AF302" s="26">
        <v>1705.6999999999998</v>
      </c>
      <c r="AG302" s="26">
        <v>383.20000000000005</v>
      </c>
      <c r="AH302" s="26">
        <v>377.5</v>
      </c>
      <c r="AI302" s="26">
        <v>244.8</v>
      </c>
      <c r="AJ302" s="26">
        <v>245</v>
      </c>
      <c r="AK302" s="26">
        <v>3352.1000000000004</v>
      </c>
    </row>
    <row r="303" spans="1:37" x14ac:dyDescent="0.25">
      <c r="A303" t="s">
        <v>34</v>
      </c>
      <c r="B303">
        <v>2017</v>
      </c>
      <c r="C303" t="s">
        <v>38</v>
      </c>
      <c r="D303" s="25">
        <v>42826</v>
      </c>
      <c r="E303" s="26">
        <v>132.69999999999999</v>
      </c>
      <c r="F303" s="26">
        <v>140.6</v>
      </c>
      <c r="G303" s="26">
        <v>124.5</v>
      </c>
      <c r="H303" s="26">
        <v>136.30000000000001</v>
      </c>
      <c r="I303" s="26">
        <v>113.5</v>
      </c>
      <c r="J303" s="26">
        <v>137.69999999999999</v>
      </c>
      <c r="K303" s="26">
        <v>127.1</v>
      </c>
      <c r="L303" s="26">
        <v>133.80000000000001</v>
      </c>
      <c r="M303" s="26">
        <v>120.8</v>
      </c>
      <c r="N303" s="26">
        <v>141.30000000000001</v>
      </c>
      <c r="O303" s="26">
        <v>123.8</v>
      </c>
      <c r="P303" s="26">
        <v>142.6</v>
      </c>
      <c r="Q303" s="26">
        <v>133.4</v>
      </c>
      <c r="R303" s="26">
        <v>148</v>
      </c>
      <c r="S303" s="26">
        <v>131.19999999999999</v>
      </c>
      <c r="T303" s="26">
        <v>123</v>
      </c>
      <c r="U303" s="26">
        <v>130</v>
      </c>
      <c r="V303" s="26">
        <v>131.69999999999999</v>
      </c>
      <c r="W303" s="26">
        <v>121.4</v>
      </c>
      <c r="X303" s="26">
        <v>126</v>
      </c>
      <c r="Y303" s="26">
        <v>123.4</v>
      </c>
      <c r="Z303" s="26">
        <v>114.3</v>
      </c>
      <c r="AA303" s="26">
        <v>122.6</v>
      </c>
      <c r="AB303" s="26">
        <v>133.6</v>
      </c>
      <c r="AC303" s="26">
        <v>122.2</v>
      </c>
      <c r="AD303" s="26">
        <v>122.5</v>
      </c>
      <c r="AE303" s="26">
        <v>129.1</v>
      </c>
      <c r="AF303" s="26">
        <v>1708.1</v>
      </c>
      <c r="AG303" s="26">
        <v>384.2</v>
      </c>
      <c r="AH303" s="26">
        <v>379.1</v>
      </c>
      <c r="AI303" s="26">
        <v>245.60000000000002</v>
      </c>
      <c r="AJ303" s="26">
        <v>245.1</v>
      </c>
      <c r="AK303" s="26">
        <v>3357.9999999999995</v>
      </c>
    </row>
    <row r="304" spans="1:37" x14ac:dyDescent="0.25">
      <c r="A304" t="s">
        <v>34</v>
      </c>
      <c r="B304">
        <v>2017</v>
      </c>
      <c r="C304" t="s">
        <v>39</v>
      </c>
      <c r="D304" s="25">
        <v>42856</v>
      </c>
      <c r="E304" s="26">
        <v>132.6</v>
      </c>
      <c r="F304" s="26">
        <v>144.1</v>
      </c>
      <c r="G304" s="26">
        <v>125.6</v>
      </c>
      <c r="H304" s="26">
        <v>136.80000000000001</v>
      </c>
      <c r="I304" s="26">
        <v>113.4</v>
      </c>
      <c r="J304" s="26">
        <v>135.19999999999999</v>
      </c>
      <c r="K304" s="26">
        <v>129.19999999999999</v>
      </c>
      <c r="L304" s="26">
        <v>131.5</v>
      </c>
      <c r="M304" s="26">
        <v>121</v>
      </c>
      <c r="N304" s="26">
        <v>139.9</v>
      </c>
      <c r="O304" s="26">
        <v>123.8</v>
      </c>
      <c r="P304" s="26">
        <v>142.9</v>
      </c>
      <c r="Q304" s="26">
        <v>133.6</v>
      </c>
      <c r="R304" s="26">
        <v>148.30000000000001</v>
      </c>
      <c r="S304" s="26">
        <v>131.5</v>
      </c>
      <c r="T304" s="26">
        <v>123.2</v>
      </c>
      <c r="U304" s="26">
        <v>130.19999999999999</v>
      </c>
      <c r="V304" s="26">
        <v>132.1</v>
      </c>
      <c r="W304" s="26">
        <v>120.1</v>
      </c>
      <c r="X304" s="26">
        <v>126.5</v>
      </c>
      <c r="Y304" s="26">
        <v>123.6</v>
      </c>
      <c r="Z304" s="26">
        <v>114.3</v>
      </c>
      <c r="AA304" s="26">
        <v>122.8</v>
      </c>
      <c r="AB304" s="26">
        <v>133.80000000000001</v>
      </c>
      <c r="AC304" s="26">
        <v>122</v>
      </c>
      <c r="AD304" s="26">
        <v>122.6</v>
      </c>
      <c r="AE304" s="26">
        <v>129.30000000000001</v>
      </c>
      <c r="AF304" s="26">
        <v>1709.6</v>
      </c>
      <c r="AG304" s="26">
        <v>384.9</v>
      </c>
      <c r="AH304" s="26">
        <v>378.7</v>
      </c>
      <c r="AI304" s="26">
        <v>245.6</v>
      </c>
      <c r="AJ304" s="26">
        <v>245.39999999999998</v>
      </c>
      <c r="AK304" s="26">
        <v>3360.6</v>
      </c>
    </row>
    <row r="305" spans="1:37" x14ac:dyDescent="0.25">
      <c r="A305" t="s">
        <v>34</v>
      </c>
      <c r="B305">
        <v>2017</v>
      </c>
      <c r="C305" t="s">
        <v>40</v>
      </c>
      <c r="D305" s="25">
        <v>42887</v>
      </c>
      <c r="E305" s="26">
        <v>132.9</v>
      </c>
      <c r="F305" s="26">
        <v>148.69999999999999</v>
      </c>
      <c r="G305" s="26">
        <v>128.30000000000001</v>
      </c>
      <c r="H305" s="26">
        <v>137.30000000000001</v>
      </c>
      <c r="I305" s="26">
        <v>113.5</v>
      </c>
      <c r="J305" s="26">
        <v>137.19999999999999</v>
      </c>
      <c r="K305" s="26">
        <v>142.19999999999999</v>
      </c>
      <c r="L305" s="26">
        <v>128.19999999999999</v>
      </c>
      <c r="M305" s="26">
        <v>120.9</v>
      </c>
      <c r="N305" s="26">
        <v>138.80000000000001</v>
      </c>
      <c r="O305" s="26">
        <v>124.2</v>
      </c>
      <c r="P305" s="26">
        <v>143.1</v>
      </c>
      <c r="Q305" s="26">
        <v>135.69999999999999</v>
      </c>
      <c r="R305" s="26">
        <v>148.6</v>
      </c>
      <c r="S305" s="26">
        <v>131.5</v>
      </c>
      <c r="T305" s="26">
        <v>123.2</v>
      </c>
      <c r="U305" s="26">
        <v>130.19999999999999</v>
      </c>
      <c r="V305" s="26">
        <v>131.4</v>
      </c>
      <c r="W305" s="26">
        <v>119</v>
      </c>
      <c r="X305" s="26">
        <v>126.8</v>
      </c>
      <c r="Y305" s="26">
        <v>123.8</v>
      </c>
      <c r="Z305" s="26">
        <v>113.9</v>
      </c>
      <c r="AA305" s="26">
        <v>122.9</v>
      </c>
      <c r="AB305" s="26">
        <v>134.30000000000001</v>
      </c>
      <c r="AC305" s="26">
        <v>122.5</v>
      </c>
      <c r="AD305" s="26">
        <v>122.7</v>
      </c>
      <c r="AE305" s="26">
        <v>129.9</v>
      </c>
      <c r="AF305" s="26">
        <v>1731.0000000000002</v>
      </c>
      <c r="AG305" s="26">
        <v>384.9</v>
      </c>
      <c r="AH305" s="26">
        <v>377.2</v>
      </c>
      <c r="AI305" s="26">
        <v>246.3</v>
      </c>
      <c r="AJ305" s="26">
        <v>245.60000000000002</v>
      </c>
      <c r="AK305" s="26">
        <v>3381.8</v>
      </c>
    </row>
    <row r="306" spans="1:37" x14ac:dyDescent="0.25">
      <c r="A306" t="s">
        <v>34</v>
      </c>
      <c r="B306">
        <v>2017</v>
      </c>
      <c r="C306" t="s">
        <v>41</v>
      </c>
      <c r="D306" s="25">
        <v>42917</v>
      </c>
      <c r="E306" s="26">
        <v>132.80000000000001</v>
      </c>
      <c r="F306" s="26">
        <v>148.4</v>
      </c>
      <c r="G306" s="26">
        <v>129.4</v>
      </c>
      <c r="H306" s="26">
        <v>137.69999999999999</v>
      </c>
      <c r="I306" s="26">
        <v>113.4</v>
      </c>
      <c r="J306" s="26">
        <v>139.4</v>
      </c>
      <c r="K306" s="26">
        <v>175.1</v>
      </c>
      <c r="L306" s="26">
        <v>124.7</v>
      </c>
      <c r="M306" s="26">
        <v>121.5</v>
      </c>
      <c r="N306" s="26">
        <v>137.80000000000001</v>
      </c>
      <c r="O306" s="26">
        <v>124.4</v>
      </c>
      <c r="P306" s="26">
        <v>143.69999999999999</v>
      </c>
      <c r="Q306" s="26">
        <v>139.80000000000001</v>
      </c>
      <c r="R306" s="26">
        <v>150.5</v>
      </c>
      <c r="S306" s="26">
        <v>131.6</v>
      </c>
      <c r="T306" s="26">
        <v>123.7</v>
      </c>
      <c r="U306" s="26">
        <v>130.4</v>
      </c>
      <c r="V306" s="26">
        <v>132.6</v>
      </c>
      <c r="W306" s="26">
        <v>119.7</v>
      </c>
      <c r="X306" s="26">
        <v>127.2</v>
      </c>
      <c r="Y306" s="26">
        <v>125</v>
      </c>
      <c r="Z306" s="26">
        <v>113.2</v>
      </c>
      <c r="AA306" s="26">
        <v>123.5</v>
      </c>
      <c r="AB306" s="26">
        <v>135.5</v>
      </c>
      <c r="AC306" s="26">
        <v>122.4</v>
      </c>
      <c r="AD306" s="26">
        <v>123</v>
      </c>
      <c r="AE306" s="26">
        <v>131.80000000000001</v>
      </c>
      <c r="AF306" s="26">
        <v>1768.1</v>
      </c>
      <c r="AG306" s="26">
        <v>385.70000000000005</v>
      </c>
      <c r="AH306" s="26">
        <v>379.5</v>
      </c>
      <c r="AI306" s="26">
        <v>247.4</v>
      </c>
      <c r="AJ306" s="26">
        <v>246.5</v>
      </c>
      <c r="AK306" s="26">
        <v>3426.4</v>
      </c>
    </row>
    <row r="307" spans="1:37" x14ac:dyDescent="0.25">
      <c r="A307" t="s">
        <v>34</v>
      </c>
      <c r="B307">
        <v>2017</v>
      </c>
      <c r="C307" t="s">
        <v>42</v>
      </c>
      <c r="D307" s="25">
        <v>42948</v>
      </c>
      <c r="E307" s="26">
        <v>133.19999999999999</v>
      </c>
      <c r="F307" s="26">
        <v>143.9</v>
      </c>
      <c r="G307" s="26">
        <v>128.30000000000001</v>
      </c>
      <c r="H307" s="26">
        <v>138.30000000000001</v>
      </c>
      <c r="I307" s="26">
        <v>114.1</v>
      </c>
      <c r="J307" s="26">
        <v>142.69999999999999</v>
      </c>
      <c r="K307" s="26">
        <v>179.8</v>
      </c>
      <c r="L307" s="26">
        <v>123.5</v>
      </c>
      <c r="M307" s="26">
        <v>122.1</v>
      </c>
      <c r="N307" s="26">
        <v>137.5</v>
      </c>
      <c r="O307" s="26">
        <v>124.6</v>
      </c>
      <c r="P307" s="26">
        <v>144.5</v>
      </c>
      <c r="Q307" s="26">
        <v>140.5</v>
      </c>
      <c r="R307" s="26">
        <v>152.1</v>
      </c>
      <c r="S307" s="26">
        <v>132.69999999999999</v>
      </c>
      <c r="T307" s="26">
        <v>124.3</v>
      </c>
      <c r="U307" s="26">
        <v>131.4</v>
      </c>
      <c r="V307" s="26">
        <v>134.4</v>
      </c>
      <c r="W307" s="26">
        <v>118.9</v>
      </c>
      <c r="X307" s="26">
        <v>127.7</v>
      </c>
      <c r="Y307" s="26">
        <v>125.7</v>
      </c>
      <c r="Z307" s="26">
        <v>114.6</v>
      </c>
      <c r="AA307" s="26">
        <v>124.1</v>
      </c>
      <c r="AB307" s="26">
        <v>135.69999999999999</v>
      </c>
      <c r="AC307" s="26">
        <v>123.3</v>
      </c>
      <c r="AD307" s="26">
        <v>123.8</v>
      </c>
      <c r="AE307" s="26">
        <v>132.69999999999999</v>
      </c>
      <c r="AF307" s="26">
        <v>1772.9999999999998</v>
      </c>
      <c r="AG307" s="26">
        <v>388.4</v>
      </c>
      <c r="AH307" s="26">
        <v>381</v>
      </c>
      <c r="AI307" s="26">
        <v>249</v>
      </c>
      <c r="AJ307" s="26">
        <v>247.89999999999998</v>
      </c>
      <c r="AK307" s="26">
        <v>3441.7</v>
      </c>
    </row>
    <row r="308" spans="1:37" x14ac:dyDescent="0.25">
      <c r="A308" t="s">
        <v>34</v>
      </c>
      <c r="B308">
        <v>2017</v>
      </c>
      <c r="C308" t="s">
        <v>43</v>
      </c>
      <c r="D308" s="25">
        <v>42979</v>
      </c>
      <c r="E308" s="26">
        <v>133.6</v>
      </c>
      <c r="F308" s="26">
        <v>143</v>
      </c>
      <c r="G308" s="26">
        <v>129.69999999999999</v>
      </c>
      <c r="H308" s="26">
        <v>138.69999999999999</v>
      </c>
      <c r="I308" s="26">
        <v>114.5</v>
      </c>
      <c r="J308" s="26">
        <v>137.5</v>
      </c>
      <c r="K308" s="26">
        <v>160.69999999999999</v>
      </c>
      <c r="L308" s="26">
        <v>124.5</v>
      </c>
      <c r="M308" s="26">
        <v>122.4</v>
      </c>
      <c r="N308" s="26">
        <v>137.30000000000001</v>
      </c>
      <c r="O308" s="26">
        <v>124.8</v>
      </c>
      <c r="P308" s="26">
        <v>145</v>
      </c>
      <c r="Q308" s="26">
        <v>138</v>
      </c>
      <c r="R308" s="26">
        <v>153.6</v>
      </c>
      <c r="S308" s="26">
        <v>133.30000000000001</v>
      </c>
      <c r="T308" s="26">
        <v>124.6</v>
      </c>
      <c r="U308" s="26">
        <v>132</v>
      </c>
      <c r="V308" s="26">
        <v>135.69999999999999</v>
      </c>
      <c r="W308" s="26">
        <v>120.6</v>
      </c>
      <c r="X308" s="26">
        <v>128.1</v>
      </c>
      <c r="Y308" s="26">
        <v>126.1</v>
      </c>
      <c r="Z308" s="26">
        <v>115.7</v>
      </c>
      <c r="AA308" s="26">
        <v>124.5</v>
      </c>
      <c r="AB308" s="26">
        <v>135.9</v>
      </c>
      <c r="AC308" s="26">
        <v>124.4</v>
      </c>
      <c r="AD308" s="26">
        <v>124.5</v>
      </c>
      <c r="AE308" s="26">
        <v>132.4</v>
      </c>
      <c r="AF308" s="26">
        <v>1749.7</v>
      </c>
      <c r="AG308" s="26">
        <v>389.9</v>
      </c>
      <c r="AH308" s="26">
        <v>384.4</v>
      </c>
      <c r="AI308" s="26">
        <v>250.5</v>
      </c>
      <c r="AJ308" s="26">
        <v>249</v>
      </c>
      <c r="AK308" s="26">
        <v>3428.7000000000003</v>
      </c>
    </row>
    <row r="309" spans="1:37" x14ac:dyDescent="0.25">
      <c r="A309" t="s">
        <v>34</v>
      </c>
      <c r="B309">
        <v>2017</v>
      </c>
      <c r="C309" t="s">
        <v>44</v>
      </c>
      <c r="D309" s="25">
        <v>43009</v>
      </c>
      <c r="E309" s="26">
        <v>133.9</v>
      </c>
      <c r="F309" s="26">
        <v>142.80000000000001</v>
      </c>
      <c r="G309" s="26">
        <v>131.4</v>
      </c>
      <c r="H309" s="26">
        <v>139.1</v>
      </c>
      <c r="I309" s="26">
        <v>114.9</v>
      </c>
      <c r="J309" s="26">
        <v>135.6</v>
      </c>
      <c r="K309" s="26">
        <v>173.2</v>
      </c>
      <c r="L309" s="26">
        <v>124.1</v>
      </c>
      <c r="M309" s="26">
        <v>122.6</v>
      </c>
      <c r="N309" s="26">
        <v>137.80000000000001</v>
      </c>
      <c r="O309" s="26">
        <v>125.1</v>
      </c>
      <c r="P309" s="26">
        <v>145.5</v>
      </c>
      <c r="Q309" s="26">
        <v>139.69999999999999</v>
      </c>
      <c r="R309" s="26">
        <v>154.6</v>
      </c>
      <c r="S309" s="26">
        <v>134</v>
      </c>
      <c r="T309" s="26">
        <v>124.9</v>
      </c>
      <c r="U309" s="26">
        <v>132.6</v>
      </c>
      <c r="V309" s="26">
        <v>137.30000000000001</v>
      </c>
      <c r="W309" s="26">
        <v>122.6</v>
      </c>
      <c r="X309" s="26">
        <v>128.30000000000001</v>
      </c>
      <c r="Y309" s="26">
        <v>126.6</v>
      </c>
      <c r="Z309" s="26">
        <v>115</v>
      </c>
      <c r="AA309" s="26">
        <v>124.8</v>
      </c>
      <c r="AB309" s="26">
        <v>136.30000000000001</v>
      </c>
      <c r="AC309" s="26">
        <v>124.6</v>
      </c>
      <c r="AD309" s="26">
        <v>124.5</v>
      </c>
      <c r="AE309" s="26">
        <v>133.5</v>
      </c>
      <c r="AF309" s="26">
        <v>1765.6999999999998</v>
      </c>
      <c r="AG309" s="26">
        <v>391.5</v>
      </c>
      <c r="AH309" s="26">
        <v>388.2</v>
      </c>
      <c r="AI309" s="26">
        <v>251.2</v>
      </c>
      <c r="AJ309" s="26">
        <v>249.3</v>
      </c>
      <c r="AK309" s="26">
        <v>3451.7999999999997</v>
      </c>
    </row>
    <row r="310" spans="1:37" x14ac:dyDescent="0.25">
      <c r="A310" t="s">
        <v>34</v>
      </c>
      <c r="B310">
        <v>2017</v>
      </c>
      <c r="C310" t="s">
        <v>46</v>
      </c>
      <c r="D310" s="25">
        <v>43040</v>
      </c>
      <c r="E310" s="26">
        <v>134.30000000000001</v>
      </c>
      <c r="F310" s="26">
        <v>142.1</v>
      </c>
      <c r="G310" s="26">
        <v>146.69999999999999</v>
      </c>
      <c r="H310" s="26">
        <v>139.5</v>
      </c>
      <c r="I310" s="26">
        <v>115.2</v>
      </c>
      <c r="J310" s="26">
        <v>136.4</v>
      </c>
      <c r="K310" s="26">
        <v>185.2</v>
      </c>
      <c r="L310" s="26">
        <v>122.2</v>
      </c>
      <c r="M310" s="26">
        <v>123.9</v>
      </c>
      <c r="N310" s="26">
        <v>138.30000000000001</v>
      </c>
      <c r="O310" s="26">
        <v>125.4</v>
      </c>
      <c r="P310" s="26">
        <v>146</v>
      </c>
      <c r="Q310" s="26">
        <v>141.5</v>
      </c>
      <c r="R310" s="26">
        <v>156.19999999999999</v>
      </c>
      <c r="S310" s="26">
        <v>135</v>
      </c>
      <c r="T310" s="26">
        <v>125.4</v>
      </c>
      <c r="U310" s="26">
        <v>133.5</v>
      </c>
      <c r="V310" s="26">
        <v>138.6</v>
      </c>
      <c r="W310" s="26">
        <v>125.7</v>
      </c>
      <c r="X310" s="26">
        <v>128.80000000000001</v>
      </c>
      <c r="Y310" s="26">
        <v>127.4</v>
      </c>
      <c r="Z310" s="26">
        <v>115.3</v>
      </c>
      <c r="AA310" s="26">
        <v>125.1</v>
      </c>
      <c r="AB310" s="26">
        <v>136.6</v>
      </c>
      <c r="AC310" s="26">
        <v>124.9</v>
      </c>
      <c r="AD310" s="26">
        <v>124.9</v>
      </c>
      <c r="AE310" s="26">
        <v>134.80000000000001</v>
      </c>
      <c r="AF310" s="26">
        <v>1796.7</v>
      </c>
      <c r="AG310" s="26">
        <v>393.9</v>
      </c>
      <c r="AH310" s="26">
        <v>393.1</v>
      </c>
      <c r="AI310" s="26">
        <v>252.3</v>
      </c>
      <c r="AJ310" s="26">
        <v>250</v>
      </c>
      <c r="AK310" s="26">
        <v>3494.1000000000004</v>
      </c>
    </row>
    <row r="311" spans="1:37" x14ac:dyDescent="0.25">
      <c r="A311" t="s">
        <v>34</v>
      </c>
      <c r="B311">
        <v>2017</v>
      </c>
      <c r="C311" t="s">
        <v>47</v>
      </c>
      <c r="D311" s="25">
        <v>43070</v>
      </c>
      <c r="E311" s="26">
        <v>134.4</v>
      </c>
      <c r="F311" s="26">
        <v>142.6</v>
      </c>
      <c r="G311" s="26">
        <v>145.9</v>
      </c>
      <c r="H311" s="26">
        <v>139.5</v>
      </c>
      <c r="I311" s="26">
        <v>115.9</v>
      </c>
      <c r="J311" s="26">
        <v>135</v>
      </c>
      <c r="K311" s="26">
        <v>163.19999999999999</v>
      </c>
      <c r="L311" s="26">
        <v>119.8</v>
      </c>
      <c r="M311" s="26">
        <v>120.7</v>
      </c>
      <c r="N311" s="26">
        <v>139.69999999999999</v>
      </c>
      <c r="O311" s="26">
        <v>125.7</v>
      </c>
      <c r="P311" s="26">
        <v>146.30000000000001</v>
      </c>
      <c r="Q311" s="26">
        <v>138.80000000000001</v>
      </c>
      <c r="R311" s="26">
        <v>157</v>
      </c>
      <c r="S311" s="26">
        <v>135.6</v>
      </c>
      <c r="T311" s="26">
        <v>125.6</v>
      </c>
      <c r="U311" s="26">
        <v>134</v>
      </c>
      <c r="V311" s="26">
        <v>139.1</v>
      </c>
      <c r="W311" s="26">
        <v>126.8</v>
      </c>
      <c r="X311" s="26">
        <v>129.30000000000001</v>
      </c>
      <c r="Y311" s="26">
        <v>128.19999999999999</v>
      </c>
      <c r="Z311" s="26">
        <v>115.3</v>
      </c>
      <c r="AA311" s="26">
        <v>125.6</v>
      </c>
      <c r="AB311" s="26">
        <v>136.69999999999999</v>
      </c>
      <c r="AC311" s="26">
        <v>124.6</v>
      </c>
      <c r="AD311" s="26">
        <v>125.1</v>
      </c>
      <c r="AE311" s="26">
        <v>134.1</v>
      </c>
      <c r="AF311" s="26">
        <v>1767.5</v>
      </c>
      <c r="AG311" s="26">
        <v>395.2</v>
      </c>
      <c r="AH311" s="26">
        <v>395.2</v>
      </c>
      <c r="AI311" s="26">
        <v>252.79999999999998</v>
      </c>
      <c r="AJ311" s="26">
        <v>250.7</v>
      </c>
      <c r="AK311" s="26">
        <v>3470.3999999999996</v>
      </c>
    </row>
    <row r="312" spans="1:37" x14ac:dyDescent="0.25">
      <c r="A312" t="s">
        <v>34</v>
      </c>
      <c r="B312">
        <v>2018</v>
      </c>
      <c r="C312" t="s">
        <v>32</v>
      </c>
      <c r="D312" s="25">
        <v>43101</v>
      </c>
      <c r="E312" s="26">
        <v>134.6</v>
      </c>
      <c r="F312" s="26">
        <v>143.69999999999999</v>
      </c>
      <c r="G312" s="26">
        <v>143.6</v>
      </c>
      <c r="H312" s="26">
        <v>139.6</v>
      </c>
      <c r="I312" s="26">
        <v>116.4</v>
      </c>
      <c r="J312" s="26">
        <v>133.80000000000001</v>
      </c>
      <c r="K312" s="26">
        <v>150.5</v>
      </c>
      <c r="L312" s="26">
        <v>118.4</v>
      </c>
      <c r="M312" s="26">
        <v>117.3</v>
      </c>
      <c r="N312" s="26">
        <v>140.5</v>
      </c>
      <c r="O312" s="26">
        <v>125.9</v>
      </c>
      <c r="P312" s="26">
        <v>146.80000000000001</v>
      </c>
      <c r="Q312" s="26">
        <v>137.19999999999999</v>
      </c>
      <c r="R312" s="26">
        <v>157.69999999999999</v>
      </c>
      <c r="S312" s="26">
        <v>136</v>
      </c>
      <c r="T312" s="26">
        <v>125.9</v>
      </c>
      <c r="U312" s="26">
        <v>134.4</v>
      </c>
      <c r="V312" s="26">
        <v>140.4</v>
      </c>
      <c r="W312" s="26">
        <v>127.3</v>
      </c>
      <c r="X312" s="26">
        <v>129.5</v>
      </c>
      <c r="Y312" s="26">
        <v>129</v>
      </c>
      <c r="Z312" s="26">
        <v>116.3</v>
      </c>
      <c r="AA312" s="26">
        <v>126.2</v>
      </c>
      <c r="AB312" s="26">
        <v>137.1</v>
      </c>
      <c r="AC312" s="26">
        <v>125.5</v>
      </c>
      <c r="AD312" s="26">
        <v>125.8</v>
      </c>
      <c r="AE312" s="26">
        <v>134.1</v>
      </c>
      <c r="AF312" s="26">
        <v>1748.3000000000002</v>
      </c>
      <c r="AG312" s="26">
        <v>396.29999999999995</v>
      </c>
      <c r="AH312" s="26">
        <v>397.2</v>
      </c>
      <c r="AI312" s="26">
        <v>254.5</v>
      </c>
      <c r="AJ312" s="26">
        <v>252</v>
      </c>
      <c r="AK312" s="26">
        <v>3459.3999999999996</v>
      </c>
    </row>
    <row r="313" spans="1:37" x14ac:dyDescent="0.25">
      <c r="A313" t="s">
        <v>34</v>
      </c>
      <c r="B313">
        <v>2018</v>
      </c>
      <c r="C313" t="s">
        <v>36</v>
      </c>
      <c r="D313" s="25">
        <v>43132</v>
      </c>
      <c r="E313" s="26">
        <v>134.80000000000001</v>
      </c>
      <c r="F313" s="26">
        <v>143</v>
      </c>
      <c r="G313" s="26">
        <v>139.9</v>
      </c>
      <c r="H313" s="26">
        <v>139.9</v>
      </c>
      <c r="I313" s="26">
        <v>116.2</v>
      </c>
      <c r="J313" s="26">
        <v>135.5</v>
      </c>
      <c r="K313" s="26">
        <v>136.9</v>
      </c>
      <c r="L313" s="26">
        <v>117</v>
      </c>
      <c r="M313" s="26">
        <v>115.4</v>
      </c>
      <c r="N313" s="26">
        <v>140.69999999999999</v>
      </c>
      <c r="O313" s="26">
        <v>125.9</v>
      </c>
      <c r="P313" s="26">
        <v>147.1</v>
      </c>
      <c r="Q313" s="26">
        <v>135.6</v>
      </c>
      <c r="R313" s="26">
        <v>159.30000000000001</v>
      </c>
      <c r="S313" s="26">
        <v>136.30000000000001</v>
      </c>
      <c r="T313" s="26">
        <v>126.1</v>
      </c>
      <c r="U313" s="26">
        <v>134.69999999999999</v>
      </c>
      <c r="V313" s="26">
        <v>141.30000000000001</v>
      </c>
      <c r="W313" s="26">
        <v>127.3</v>
      </c>
      <c r="X313" s="26">
        <v>129.9</v>
      </c>
      <c r="Y313" s="26">
        <v>129.80000000000001</v>
      </c>
      <c r="Z313" s="26">
        <v>117.4</v>
      </c>
      <c r="AA313" s="26">
        <v>126.5</v>
      </c>
      <c r="AB313" s="26">
        <v>137.19999999999999</v>
      </c>
      <c r="AC313" s="26">
        <v>126.2</v>
      </c>
      <c r="AD313" s="26">
        <v>126.5</v>
      </c>
      <c r="AE313" s="26">
        <v>134</v>
      </c>
      <c r="AF313" s="26">
        <v>1727.9</v>
      </c>
      <c r="AG313" s="26">
        <v>397.09999999999997</v>
      </c>
      <c r="AH313" s="26">
        <v>398.5</v>
      </c>
      <c r="AI313" s="26">
        <v>256</v>
      </c>
      <c r="AJ313" s="26">
        <v>253</v>
      </c>
      <c r="AK313" s="26">
        <v>3446.4</v>
      </c>
    </row>
    <row r="314" spans="1:37" x14ac:dyDescent="0.25">
      <c r="A314" t="s">
        <v>34</v>
      </c>
      <c r="B314">
        <v>2018</v>
      </c>
      <c r="C314" t="s">
        <v>37</v>
      </c>
      <c r="D314" s="25">
        <v>43160</v>
      </c>
      <c r="E314" s="26">
        <v>135</v>
      </c>
      <c r="F314" s="26">
        <v>143.1</v>
      </c>
      <c r="G314" s="26">
        <v>135.5</v>
      </c>
      <c r="H314" s="26">
        <v>139.9</v>
      </c>
      <c r="I314" s="26">
        <v>116.5</v>
      </c>
      <c r="J314" s="26">
        <v>138.5</v>
      </c>
      <c r="K314" s="26">
        <v>128</v>
      </c>
      <c r="L314" s="26">
        <v>115.5</v>
      </c>
      <c r="M314" s="26">
        <v>114.2</v>
      </c>
      <c r="N314" s="26">
        <v>140.69999999999999</v>
      </c>
      <c r="O314" s="26">
        <v>126.2</v>
      </c>
      <c r="P314" s="26">
        <v>147.6</v>
      </c>
      <c r="Q314" s="26">
        <v>134.80000000000001</v>
      </c>
      <c r="R314" s="26">
        <v>159.69999999999999</v>
      </c>
      <c r="S314" s="26">
        <v>136.69999999999999</v>
      </c>
      <c r="T314" s="26">
        <v>126.7</v>
      </c>
      <c r="U314" s="26">
        <v>135.19999999999999</v>
      </c>
      <c r="V314" s="26">
        <v>142</v>
      </c>
      <c r="W314" s="26">
        <v>126.4</v>
      </c>
      <c r="X314" s="26">
        <v>130.80000000000001</v>
      </c>
      <c r="Y314" s="26">
        <v>130.5</v>
      </c>
      <c r="Z314" s="26">
        <v>117.8</v>
      </c>
      <c r="AA314" s="26">
        <v>126.8</v>
      </c>
      <c r="AB314" s="26">
        <v>137.80000000000001</v>
      </c>
      <c r="AC314" s="26">
        <v>126.7</v>
      </c>
      <c r="AD314" s="26">
        <v>127.1</v>
      </c>
      <c r="AE314" s="26">
        <v>134</v>
      </c>
      <c r="AF314" s="26">
        <v>1715.5</v>
      </c>
      <c r="AG314" s="26">
        <v>398.59999999999997</v>
      </c>
      <c r="AH314" s="26">
        <v>399.2</v>
      </c>
      <c r="AI314" s="26">
        <v>257.2</v>
      </c>
      <c r="AJ314" s="26">
        <v>253.89999999999998</v>
      </c>
      <c r="AK314" s="26">
        <v>3439.7</v>
      </c>
    </row>
    <row r="315" spans="1:37" x14ac:dyDescent="0.25">
      <c r="A315" t="s">
        <v>34</v>
      </c>
      <c r="B315">
        <v>2018</v>
      </c>
      <c r="C315" t="s">
        <v>38</v>
      </c>
      <c r="D315" s="25">
        <v>43191</v>
      </c>
      <c r="E315" s="26">
        <v>135</v>
      </c>
      <c r="F315" s="26">
        <v>144.30000000000001</v>
      </c>
      <c r="G315" s="26">
        <v>130.80000000000001</v>
      </c>
      <c r="H315" s="26">
        <v>140.30000000000001</v>
      </c>
      <c r="I315" s="26">
        <v>116.6</v>
      </c>
      <c r="J315" s="26">
        <v>150.1</v>
      </c>
      <c r="K315" s="26">
        <v>127.6</v>
      </c>
      <c r="L315" s="26">
        <v>114</v>
      </c>
      <c r="M315" s="26">
        <v>110.6</v>
      </c>
      <c r="N315" s="26">
        <v>140.19999999999999</v>
      </c>
      <c r="O315" s="26">
        <v>126.5</v>
      </c>
      <c r="P315" s="26">
        <v>148.30000000000001</v>
      </c>
      <c r="Q315" s="26">
        <v>135.69999999999999</v>
      </c>
      <c r="R315" s="26">
        <v>159.19999999999999</v>
      </c>
      <c r="S315" s="26">
        <v>137.80000000000001</v>
      </c>
      <c r="T315" s="26">
        <v>127.4</v>
      </c>
      <c r="U315" s="26">
        <v>136.19999999999999</v>
      </c>
      <c r="V315" s="26">
        <v>142.9</v>
      </c>
      <c r="W315" s="26">
        <v>124.6</v>
      </c>
      <c r="X315" s="26">
        <v>131.80000000000001</v>
      </c>
      <c r="Y315" s="26">
        <v>131.30000000000001</v>
      </c>
      <c r="Z315" s="26">
        <v>118.9</v>
      </c>
      <c r="AA315" s="26">
        <v>127.6</v>
      </c>
      <c r="AB315" s="26">
        <v>139.69999999999999</v>
      </c>
      <c r="AC315" s="26">
        <v>127.6</v>
      </c>
      <c r="AD315" s="26">
        <v>128.19999999999999</v>
      </c>
      <c r="AE315" s="26">
        <v>134.80000000000001</v>
      </c>
      <c r="AF315" s="26">
        <v>1720.0000000000002</v>
      </c>
      <c r="AG315" s="26">
        <v>401.40000000000003</v>
      </c>
      <c r="AH315" s="26">
        <v>399.3</v>
      </c>
      <c r="AI315" s="26">
        <v>258.89999999999998</v>
      </c>
      <c r="AJ315" s="26">
        <v>255.79999999999998</v>
      </c>
      <c r="AK315" s="26">
        <v>3453.2000000000007</v>
      </c>
    </row>
    <row r="316" spans="1:37" x14ac:dyDescent="0.25">
      <c r="A316" t="s">
        <v>34</v>
      </c>
      <c r="B316">
        <v>2018</v>
      </c>
      <c r="C316" t="s">
        <v>39</v>
      </c>
      <c r="D316" s="25">
        <v>43221</v>
      </c>
      <c r="E316" s="26">
        <v>135</v>
      </c>
      <c r="F316" s="26">
        <v>148.19999999999999</v>
      </c>
      <c r="G316" s="26">
        <v>130.5</v>
      </c>
      <c r="H316" s="26">
        <v>140.69999999999999</v>
      </c>
      <c r="I316" s="26">
        <v>116.4</v>
      </c>
      <c r="J316" s="26">
        <v>151.30000000000001</v>
      </c>
      <c r="K316" s="26">
        <v>131.4</v>
      </c>
      <c r="L316" s="26">
        <v>112.8</v>
      </c>
      <c r="M316" s="26">
        <v>105.3</v>
      </c>
      <c r="N316" s="26">
        <v>139.6</v>
      </c>
      <c r="O316" s="26">
        <v>126.6</v>
      </c>
      <c r="P316" s="26">
        <v>148.69999999999999</v>
      </c>
      <c r="Q316" s="26">
        <v>136.4</v>
      </c>
      <c r="R316" s="26">
        <v>160.30000000000001</v>
      </c>
      <c r="S316" s="26">
        <v>138.6</v>
      </c>
      <c r="T316" s="26">
        <v>127.9</v>
      </c>
      <c r="U316" s="26">
        <v>137</v>
      </c>
      <c r="V316" s="26">
        <v>143.19999999999999</v>
      </c>
      <c r="W316" s="26">
        <v>124.7</v>
      </c>
      <c r="X316" s="26">
        <v>132.5</v>
      </c>
      <c r="Y316" s="26">
        <v>132</v>
      </c>
      <c r="Z316" s="26">
        <v>119.8</v>
      </c>
      <c r="AA316" s="26">
        <v>128</v>
      </c>
      <c r="AB316" s="26">
        <v>140.4</v>
      </c>
      <c r="AC316" s="26">
        <v>128.1</v>
      </c>
      <c r="AD316" s="26">
        <v>128.9</v>
      </c>
      <c r="AE316" s="26">
        <v>135.4</v>
      </c>
      <c r="AF316" s="26">
        <v>1722.8999999999999</v>
      </c>
      <c r="AG316" s="26">
        <v>403.5</v>
      </c>
      <c r="AH316" s="26">
        <v>400.4</v>
      </c>
      <c r="AI316" s="26">
        <v>260.10000000000002</v>
      </c>
      <c r="AJ316" s="26">
        <v>256.89999999999998</v>
      </c>
      <c r="AK316" s="26">
        <v>3464.2999999999997</v>
      </c>
    </row>
    <row r="317" spans="1:37" x14ac:dyDescent="0.25">
      <c r="A317" t="s">
        <v>34</v>
      </c>
      <c r="B317">
        <v>2018</v>
      </c>
      <c r="C317" t="s">
        <v>40</v>
      </c>
      <c r="D317" s="25">
        <v>43252</v>
      </c>
      <c r="E317" s="26">
        <v>135.30000000000001</v>
      </c>
      <c r="F317" s="26">
        <v>149.69999999999999</v>
      </c>
      <c r="G317" s="26">
        <v>133.9</v>
      </c>
      <c r="H317" s="26">
        <v>140.80000000000001</v>
      </c>
      <c r="I317" s="26">
        <v>116.6</v>
      </c>
      <c r="J317" s="26">
        <v>152.19999999999999</v>
      </c>
      <c r="K317" s="26">
        <v>144</v>
      </c>
      <c r="L317" s="26">
        <v>112.3</v>
      </c>
      <c r="M317" s="26">
        <v>108.4</v>
      </c>
      <c r="N317" s="26">
        <v>140</v>
      </c>
      <c r="O317" s="26">
        <v>126.7</v>
      </c>
      <c r="P317" s="26">
        <v>149</v>
      </c>
      <c r="Q317" s="26">
        <v>138.4</v>
      </c>
      <c r="R317" s="26">
        <v>161</v>
      </c>
      <c r="S317" s="26">
        <v>138.9</v>
      </c>
      <c r="T317" s="26">
        <v>128.69999999999999</v>
      </c>
      <c r="U317" s="26">
        <v>137.4</v>
      </c>
      <c r="V317" s="26">
        <v>142.5</v>
      </c>
      <c r="W317" s="26">
        <v>126.5</v>
      </c>
      <c r="X317" s="26">
        <v>133.1</v>
      </c>
      <c r="Y317" s="26">
        <v>132.6</v>
      </c>
      <c r="Z317" s="26">
        <v>120.4</v>
      </c>
      <c r="AA317" s="26">
        <v>128.5</v>
      </c>
      <c r="AB317" s="26">
        <v>141.19999999999999</v>
      </c>
      <c r="AC317" s="26">
        <v>128.19999999999999</v>
      </c>
      <c r="AD317" s="26">
        <v>129.5</v>
      </c>
      <c r="AE317" s="26">
        <v>136.19999999999999</v>
      </c>
      <c r="AF317" s="26">
        <v>1747.3000000000002</v>
      </c>
      <c r="AG317" s="26">
        <v>405</v>
      </c>
      <c r="AH317" s="26">
        <v>402.1</v>
      </c>
      <c r="AI317" s="26">
        <v>260.79999999999995</v>
      </c>
      <c r="AJ317" s="26">
        <v>258</v>
      </c>
      <c r="AK317" s="26">
        <v>3495.8</v>
      </c>
    </row>
    <row r="318" spans="1:37" x14ac:dyDescent="0.25">
      <c r="A318" t="s">
        <v>34</v>
      </c>
      <c r="B318">
        <v>2018</v>
      </c>
      <c r="C318" t="s">
        <v>41</v>
      </c>
      <c r="D318" s="25">
        <v>43282</v>
      </c>
      <c r="E318" s="26">
        <v>135.6</v>
      </c>
      <c r="F318" s="26">
        <v>148.6</v>
      </c>
      <c r="G318" s="26">
        <v>139.1</v>
      </c>
      <c r="H318" s="26">
        <v>141</v>
      </c>
      <c r="I318" s="26">
        <v>116.7</v>
      </c>
      <c r="J318" s="26">
        <v>149.69999999999999</v>
      </c>
      <c r="K318" s="26">
        <v>159.19999999999999</v>
      </c>
      <c r="L318" s="26">
        <v>112.6</v>
      </c>
      <c r="M318" s="26">
        <v>111.8</v>
      </c>
      <c r="N318" s="26">
        <v>140.30000000000001</v>
      </c>
      <c r="O318" s="26">
        <v>126.8</v>
      </c>
      <c r="P318" s="26">
        <v>149.4</v>
      </c>
      <c r="Q318" s="26">
        <v>140.30000000000001</v>
      </c>
      <c r="R318" s="26">
        <v>161.4</v>
      </c>
      <c r="S318" s="26">
        <v>139.6</v>
      </c>
      <c r="T318" s="26">
        <v>128.9</v>
      </c>
      <c r="U318" s="26">
        <v>137.9</v>
      </c>
      <c r="V318" s="26">
        <v>143.6</v>
      </c>
      <c r="W318" s="26">
        <v>128.1</v>
      </c>
      <c r="X318" s="26">
        <v>133.6</v>
      </c>
      <c r="Y318" s="26">
        <v>133.6</v>
      </c>
      <c r="Z318" s="26">
        <v>120.1</v>
      </c>
      <c r="AA318" s="26">
        <v>129</v>
      </c>
      <c r="AB318" s="26">
        <v>144</v>
      </c>
      <c r="AC318" s="26">
        <v>128.19999999999999</v>
      </c>
      <c r="AD318" s="26">
        <v>130.19999999999999</v>
      </c>
      <c r="AE318" s="26">
        <v>137.5</v>
      </c>
      <c r="AF318" s="26">
        <v>1771.1</v>
      </c>
      <c r="AG318" s="26">
        <v>406.4</v>
      </c>
      <c r="AH318" s="26">
        <v>405.29999999999995</v>
      </c>
      <c r="AI318" s="26">
        <v>261.79999999999995</v>
      </c>
      <c r="AJ318" s="26">
        <v>259.2</v>
      </c>
      <c r="AK318" s="26">
        <v>3529.3</v>
      </c>
    </row>
    <row r="319" spans="1:37" x14ac:dyDescent="0.25">
      <c r="A319" t="s">
        <v>34</v>
      </c>
      <c r="B319">
        <v>2018</v>
      </c>
      <c r="C319" t="s">
        <v>42</v>
      </c>
      <c r="D319" s="25">
        <v>43313</v>
      </c>
      <c r="E319" s="26">
        <v>136.5</v>
      </c>
      <c r="F319" s="26">
        <v>146.4</v>
      </c>
      <c r="G319" s="26">
        <v>136.6</v>
      </c>
      <c r="H319" s="26">
        <v>141.19999999999999</v>
      </c>
      <c r="I319" s="26">
        <v>117.4</v>
      </c>
      <c r="J319" s="26">
        <v>146.30000000000001</v>
      </c>
      <c r="K319" s="26">
        <v>157.30000000000001</v>
      </c>
      <c r="L319" s="26">
        <v>113.6</v>
      </c>
      <c r="M319" s="26">
        <v>113.3</v>
      </c>
      <c r="N319" s="26">
        <v>141.1</v>
      </c>
      <c r="O319" s="26">
        <v>127.4</v>
      </c>
      <c r="P319" s="26">
        <v>150.4</v>
      </c>
      <c r="Q319" s="26">
        <v>140.1</v>
      </c>
      <c r="R319" s="26">
        <v>162.1</v>
      </c>
      <c r="S319" s="26">
        <v>140</v>
      </c>
      <c r="T319" s="26">
        <v>129</v>
      </c>
      <c r="U319" s="26">
        <v>138.30000000000001</v>
      </c>
      <c r="V319" s="26">
        <v>144.6</v>
      </c>
      <c r="W319" s="26">
        <v>129.80000000000001</v>
      </c>
      <c r="X319" s="26">
        <v>134.4</v>
      </c>
      <c r="Y319" s="26">
        <v>134.9</v>
      </c>
      <c r="Z319" s="26">
        <v>120.7</v>
      </c>
      <c r="AA319" s="26">
        <v>129.80000000000001</v>
      </c>
      <c r="AB319" s="26">
        <v>145.30000000000001</v>
      </c>
      <c r="AC319" s="26">
        <v>128.30000000000001</v>
      </c>
      <c r="AD319" s="26">
        <v>131</v>
      </c>
      <c r="AE319" s="26">
        <v>138</v>
      </c>
      <c r="AF319" s="26">
        <v>1767.6</v>
      </c>
      <c r="AG319" s="26">
        <v>407.3</v>
      </c>
      <c r="AH319" s="26">
        <v>408.79999999999995</v>
      </c>
      <c r="AI319" s="26">
        <v>263.20000000000005</v>
      </c>
      <c r="AJ319" s="26">
        <v>260.8</v>
      </c>
      <c r="AK319" s="26">
        <v>3535.8</v>
      </c>
    </row>
    <row r="320" spans="1:37" x14ac:dyDescent="0.25">
      <c r="A320" t="s">
        <v>34</v>
      </c>
      <c r="B320">
        <v>2018</v>
      </c>
      <c r="C320" t="s">
        <v>43</v>
      </c>
      <c r="D320" s="25">
        <v>43344</v>
      </c>
      <c r="E320" s="26">
        <v>137</v>
      </c>
      <c r="F320" s="26">
        <v>143.1</v>
      </c>
      <c r="G320" s="26">
        <v>132.80000000000001</v>
      </c>
      <c r="H320" s="26">
        <v>141.5</v>
      </c>
      <c r="I320" s="26">
        <v>117.8</v>
      </c>
      <c r="J320" s="26">
        <v>140</v>
      </c>
      <c r="K320" s="26">
        <v>151.30000000000001</v>
      </c>
      <c r="L320" s="26">
        <v>113.5</v>
      </c>
      <c r="M320" s="26">
        <v>112.3</v>
      </c>
      <c r="N320" s="26">
        <v>141.19999999999999</v>
      </c>
      <c r="O320" s="26">
        <v>127.7</v>
      </c>
      <c r="P320" s="26">
        <v>151.30000000000001</v>
      </c>
      <c r="Q320" s="26">
        <v>138.9</v>
      </c>
      <c r="R320" s="26">
        <v>163.30000000000001</v>
      </c>
      <c r="S320" s="26">
        <v>140.80000000000001</v>
      </c>
      <c r="T320" s="26">
        <v>129.30000000000001</v>
      </c>
      <c r="U320" s="26">
        <v>139.1</v>
      </c>
      <c r="V320" s="26">
        <v>145.30000000000001</v>
      </c>
      <c r="W320" s="26">
        <v>131.19999999999999</v>
      </c>
      <c r="X320" s="26">
        <v>134.9</v>
      </c>
      <c r="Y320" s="26">
        <v>135.69999999999999</v>
      </c>
      <c r="Z320" s="26">
        <v>122.5</v>
      </c>
      <c r="AA320" s="26">
        <v>130.19999999999999</v>
      </c>
      <c r="AB320" s="26">
        <v>145.19999999999999</v>
      </c>
      <c r="AC320" s="26">
        <v>129.30000000000001</v>
      </c>
      <c r="AD320" s="26">
        <v>131.9</v>
      </c>
      <c r="AE320" s="26">
        <v>138.1</v>
      </c>
      <c r="AF320" s="26">
        <v>1748.4</v>
      </c>
      <c r="AG320" s="26">
        <v>409.20000000000005</v>
      </c>
      <c r="AH320" s="26">
        <v>411.4</v>
      </c>
      <c r="AI320" s="26">
        <v>265</v>
      </c>
      <c r="AJ320" s="26">
        <v>262.10000000000002</v>
      </c>
      <c r="AK320" s="26">
        <v>3527.1000000000004</v>
      </c>
    </row>
    <row r="321" spans="1:37" x14ac:dyDescent="0.25">
      <c r="A321" t="s">
        <v>34</v>
      </c>
      <c r="B321">
        <v>2018</v>
      </c>
      <c r="C321" t="s">
        <v>44</v>
      </c>
      <c r="D321" s="25">
        <v>43374</v>
      </c>
      <c r="E321" s="26">
        <v>137.6</v>
      </c>
      <c r="F321" s="26">
        <v>144.9</v>
      </c>
      <c r="G321" s="26">
        <v>133.5</v>
      </c>
      <c r="H321" s="26">
        <v>141.5</v>
      </c>
      <c r="I321" s="26">
        <v>118</v>
      </c>
      <c r="J321" s="26">
        <v>139.5</v>
      </c>
      <c r="K321" s="26">
        <v>153</v>
      </c>
      <c r="L321" s="26">
        <v>113.2</v>
      </c>
      <c r="M321" s="26">
        <v>112.8</v>
      </c>
      <c r="N321" s="26">
        <v>141.1</v>
      </c>
      <c r="O321" s="26">
        <v>127.6</v>
      </c>
      <c r="P321" s="26">
        <v>152</v>
      </c>
      <c r="Q321" s="26">
        <v>139.4</v>
      </c>
      <c r="R321" s="26">
        <v>164</v>
      </c>
      <c r="S321" s="26">
        <v>141.5</v>
      </c>
      <c r="T321" s="26">
        <v>129.80000000000001</v>
      </c>
      <c r="U321" s="26">
        <v>139.69999999999999</v>
      </c>
      <c r="V321" s="26">
        <v>146.30000000000001</v>
      </c>
      <c r="W321" s="26">
        <v>133.4</v>
      </c>
      <c r="X321" s="26">
        <v>135.1</v>
      </c>
      <c r="Y321" s="26">
        <v>136.19999999999999</v>
      </c>
      <c r="Z321" s="26">
        <v>123.3</v>
      </c>
      <c r="AA321" s="26">
        <v>130.69999999999999</v>
      </c>
      <c r="AB321" s="26">
        <v>145.5</v>
      </c>
      <c r="AC321" s="26">
        <v>130.4</v>
      </c>
      <c r="AD321" s="26">
        <v>132.5</v>
      </c>
      <c r="AE321" s="26">
        <v>138.9</v>
      </c>
      <c r="AF321" s="26">
        <v>1754.1</v>
      </c>
      <c r="AG321" s="26">
        <v>411</v>
      </c>
      <c r="AH321" s="26">
        <v>414.80000000000007</v>
      </c>
      <c r="AI321" s="26">
        <v>266.60000000000002</v>
      </c>
      <c r="AJ321" s="26">
        <v>263.2</v>
      </c>
      <c r="AK321" s="26">
        <v>3542.5</v>
      </c>
    </row>
    <row r="322" spans="1:37" x14ac:dyDescent="0.25">
      <c r="A322" t="s">
        <v>34</v>
      </c>
      <c r="B322">
        <v>2018</v>
      </c>
      <c r="C322" t="s">
        <v>46</v>
      </c>
      <c r="D322" s="25">
        <v>43405</v>
      </c>
      <c r="E322" s="26">
        <v>138.1</v>
      </c>
      <c r="F322" s="26">
        <v>146.30000000000001</v>
      </c>
      <c r="G322" s="26">
        <v>137.80000000000001</v>
      </c>
      <c r="H322" s="26">
        <v>141.6</v>
      </c>
      <c r="I322" s="26">
        <v>118.1</v>
      </c>
      <c r="J322" s="26">
        <v>141.5</v>
      </c>
      <c r="K322" s="26">
        <v>145.19999999999999</v>
      </c>
      <c r="L322" s="26">
        <v>115.3</v>
      </c>
      <c r="M322" s="26">
        <v>112.5</v>
      </c>
      <c r="N322" s="26">
        <v>141.4</v>
      </c>
      <c r="O322" s="26">
        <v>128</v>
      </c>
      <c r="P322" s="26">
        <v>152.6</v>
      </c>
      <c r="Q322" s="26">
        <v>139.1</v>
      </c>
      <c r="R322" s="26">
        <v>164.4</v>
      </c>
      <c r="S322" s="26">
        <v>142.4</v>
      </c>
      <c r="T322" s="26">
        <v>130.19999999999999</v>
      </c>
      <c r="U322" s="26">
        <v>140.5</v>
      </c>
      <c r="V322" s="26">
        <v>146.9</v>
      </c>
      <c r="W322" s="26">
        <v>136.69999999999999</v>
      </c>
      <c r="X322" s="26">
        <v>135.80000000000001</v>
      </c>
      <c r="Y322" s="26">
        <v>136.80000000000001</v>
      </c>
      <c r="Z322" s="26">
        <v>121.2</v>
      </c>
      <c r="AA322" s="26">
        <v>131.30000000000001</v>
      </c>
      <c r="AB322" s="26">
        <v>146.1</v>
      </c>
      <c r="AC322" s="26">
        <v>130.5</v>
      </c>
      <c r="AD322" s="26">
        <v>132.19999999999999</v>
      </c>
      <c r="AE322" s="26">
        <v>139</v>
      </c>
      <c r="AF322" s="26">
        <v>1757.4999999999998</v>
      </c>
      <c r="AG322" s="26">
        <v>413.1</v>
      </c>
      <c r="AH322" s="26">
        <v>419.40000000000003</v>
      </c>
      <c r="AI322" s="26">
        <v>267.3</v>
      </c>
      <c r="AJ322" s="26">
        <v>263.5</v>
      </c>
      <c r="AK322" s="26">
        <v>3552.5</v>
      </c>
    </row>
    <row r="323" spans="1:37" x14ac:dyDescent="0.25">
      <c r="A323" t="s">
        <v>34</v>
      </c>
      <c r="B323">
        <v>2018</v>
      </c>
      <c r="C323" t="s">
        <v>47</v>
      </c>
      <c r="D323" s="25">
        <v>43435</v>
      </c>
      <c r="E323" s="26">
        <v>138.5</v>
      </c>
      <c r="F323" s="26">
        <v>147.80000000000001</v>
      </c>
      <c r="G323" s="26">
        <v>141.1</v>
      </c>
      <c r="H323" s="26">
        <v>141.6</v>
      </c>
      <c r="I323" s="26">
        <v>118.1</v>
      </c>
      <c r="J323" s="26">
        <v>138.5</v>
      </c>
      <c r="K323" s="26">
        <v>132.4</v>
      </c>
      <c r="L323" s="26">
        <v>117.5</v>
      </c>
      <c r="M323" s="26">
        <v>111</v>
      </c>
      <c r="N323" s="26">
        <v>141.5</v>
      </c>
      <c r="O323" s="26">
        <v>128.1</v>
      </c>
      <c r="P323" s="26">
        <v>152.9</v>
      </c>
      <c r="Q323" s="26">
        <v>137.6</v>
      </c>
      <c r="R323" s="26">
        <v>164.6</v>
      </c>
      <c r="S323" s="26">
        <v>142.69999999999999</v>
      </c>
      <c r="T323" s="26">
        <v>130.30000000000001</v>
      </c>
      <c r="U323" s="26">
        <v>140.80000000000001</v>
      </c>
      <c r="V323" s="26">
        <v>146.5</v>
      </c>
      <c r="W323" s="26">
        <v>132.4</v>
      </c>
      <c r="X323" s="26">
        <v>136.19999999999999</v>
      </c>
      <c r="Y323" s="26">
        <v>137.30000000000001</v>
      </c>
      <c r="Z323" s="26">
        <v>118.8</v>
      </c>
      <c r="AA323" s="26">
        <v>131.69999999999999</v>
      </c>
      <c r="AB323" s="26">
        <v>146.5</v>
      </c>
      <c r="AC323" s="26">
        <v>130.80000000000001</v>
      </c>
      <c r="AD323" s="26">
        <v>131.69999999999999</v>
      </c>
      <c r="AE323" s="26">
        <v>138</v>
      </c>
      <c r="AF323" s="26">
        <v>1746.6</v>
      </c>
      <c r="AG323" s="26">
        <v>413.8</v>
      </c>
      <c r="AH323" s="26">
        <v>415.09999999999997</v>
      </c>
      <c r="AI323" s="26">
        <v>268.10000000000002</v>
      </c>
      <c r="AJ323" s="26">
        <v>263.39999999999998</v>
      </c>
      <c r="AK323" s="26">
        <v>3536.9</v>
      </c>
    </row>
    <row r="324" spans="1:37" x14ac:dyDescent="0.25">
      <c r="A324" t="s">
        <v>34</v>
      </c>
      <c r="B324">
        <v>2019</v>
      </c>
      <c r="C324" t="s">
        <v>32</v>
      </c>
      <c r="D324" s="25">
        <v>43466</v>
      </c>
      <c r="E324" s="26">
        <v>138.30000000000001</v>
      </c>
      <c r="F324" s="26">
        <v>149.4</v>
      </c>
      <c r="G324" s="26">
        <v>143.5</v>
      </c>
      <c r="H324" s="26">
        <v>141.69999999999999</v>
      </c>
      <c r="I324" s="26">
        <v>118.1</v>
      </c>
      <c r="J324" s="26">
        <v>135.19999999999999</v>
      </c>
      <c r="K324" s="26">
        <v>130.5</v>
      </c>
      <c r="L324" s="26">
        <v>118.2</v>
      </c>
      <c r="M324" s="26">
        <v>110.4</v>
      </c>
      <c r="N324" s="26">
        <v>140.4</v>
      </c>
      <c r="O324" s="26">
        <v>128.1</v>
      </c>
      <c r="P324" s="26">
        <v>153.19999999999999</v>
      </c>
      <c r="Q324" s="26">
        <v>137.30000000000001</v>
      </c>
      <c r="R324" s="26">
        <v>164.7</v>
      </c>
      <c r="S324" s="26">
        <v>143</v>
      </c>
      <c r="T324" s="26">
        <v>130.4</v>
      </c>
      <c r="U324" s="26">
        <v>141.1</v>
      </c>
      <c r="V324" s="26">
        <v>147.69999999999999</v>
      </c>
      <c r="W324" s="26">
        <v>128.6</v>
      </c>
      <c r="X324" s="26">
        <v>136.30000000000001</v>
      </c>
      <c r="Y324" s="26">
        <v>137.80000000000001</v>
      </c>
      <c r="Z324" s="26">
        <v>118.6</v>
      </c>
      <c r="AA324" s="26">
        <v>131.9</v>
      </c>
      <c r="AB324" s="26">
        <v>146.6</v>
      </c>
      <c r="AC324" s="26">
        <v>131.69999999999999</v>
      </c>
      <c r="AD324" s="26">
        <v>131.80000000000001</v>
      </c>
      <c r="AE324" s="26">
        <v>138</v>
      </c>
      <c r="AF324" s="26">
        <v>1744.3000000000002</v>
      </c>
      <c r="AG324" s="26">
        <v>414.5</v>
      </c>
      <c r="AH324" s="26">
        <v>412.59999999999997</v>
      </c>
      <c r="AI324" s="26">
        <v>269.5</v>
      </c>
      <c r="AJ324" s="26">
        <v>263.70000000000005</v>
      </c>
      <c r="AK324" s="26">
        <v>3534.5</v>
      </c>
    </row>
    <row r="325" spans="1:37" x14ac:dyDescent="0.25">
      <c r="A325" t="s">
        <v>34</v>
      </c>
      <c r="B325">
        <v>2019</v>
      </c>
      <c r="C325" t="s">
        <v>36</v>
      </c>
      <c r="D325" s="25">
        <v>43497</v>
      </c>
      <c r="E325" s="26">
        <v>139.4</v>
      </c>
      <c r="F325" s="26">
        <v>150.1</v>
      </c>
      <c r="G325" s="26">
        <v>145.30000000000001</v>
      </c>
      <c r="H325" s="26">
        <v>141.69999999999999</v>
      </c>
      <c r="I325" s="26">
        <v>118.4</v>
      </c>
      <c r="J325" s="26">
        <v>137</v>
      </c>
      <c r="K325" s="26">
        <v>131.6</v>
      </c>
      <c r="L325" s="26">
        <v>119.9</v>
      </c>
      <c r="M325" s="26">
        <v>110.4</v>
      </c>
      <c r="N325" s="26">
        <v>140.80000000000001</v>
      </c>
      <c r="O325" s="26">
        <v>128.30000000000001</v>
      </c>
      <c r="P325" s="26">
        <v>153.5</v>
      </c>
      <c r="Q325" s="26">
        <v>138</v>
      </c>
      <c r="R325" s="26">
        <v>164.9</v>
      </c>
      <c r="S325" s="26">
        <v>143.30000000000001</v>
      </c>
      <c r="T325" s="26">
        <v>130.80000000000001</v>
      </c>
      <c r="U325" s="26">
        <v>141.4</v>
      </c>
      <c r="V325" s="26">
        <v>148.5</v>
      </c>
      <c r="W325" s="26">
        <v>127.1</v>
      </c>
      <c r="X325" s="26">
        <v>136.6</v>
      </c>
      <c r="Y325" s="26">
        <v>138.5</v>
      </c>
      <c r="Z325" s="26">
        <v>119.2</v>
      </c>
      <c r="AA325" s="26">
        <v>132.19999999999999</v>
      </c>
      <c r="AB325" s="26">
        <v>146.6</v>
      </c>
      <c r="AC325" s="26">
        <v>133</v>
      </c>
      <c r="AD325" s="26">
        <v>132.4</v>
      </c>
      <c r="AE325" s="26">
        <v>138.6</v>
      </c>
      <c r="AF325" s="26">
        <v>1754.4</v>
      </c>
      <c r="AG325" s="26">
        <v>415.5</v>
      </c>
      <c r="AH325" s="26">
        <v>412.20000000000005</v>
      </c>
      <c r="AI325" s="26">
        <v>271.5</v>
      </c>
      <c r="AJ325" s="26">
        <v>264.60000000000002</v>
      </c>
      <c r="AK325" s="26">
        <v>3548.9</v>
      </c>
    </row>
    <row r="326" spans="1:37" x14ac:dyDescent="0.25">
      <c r="A326" t="s">
        <v>34</v>
      </c>
      <c r="B326">
        <v>2019</v>
      </c>
      <c r="C326" t="s">
        <v>37</v>
      </c>
      <c r="D326" s="25">
        <v>43525</v>
      </c>
      <c r="E326" s="26">
        <v>139.69999999999999</v>
      </c>
      <c r="F326" s="26">
        <v>151.1</v>
      </c>
      <c r="G326" s="26">
        <v>142.9</v>
      </c>
      <c r="H326" s="26">
        <v>141.9</v>
      </c>
      <c r="I326" s="26">
        <v>118.4</v>
      </c>
      <c r="J326" s="26">
        <v>139.4</v>
      </c>
      <c r="K326" s="26">
        <v>141.19999999999999</v>
      </c>
      <c r="L326" s="26">
        <v>120.7</v>
      </c>
      <c r="M326" s="26">
        <v>110.4</v>
      </c>
      <c r="N326" s="26">
        <v>140.69999999999999</v>
      </c>
      <c r="O326" s="26">
        <v>128.5</v>
      </c>
      <c r="P326" s="26">
        <v>153.9</v>
      </c>
      <c r="Q326" s="26">
        <v>139.6</v>
      </c>
      <c r="R326" s="26">
        <v>165.3</v>
      </c>
      <c r="S326" s="26">
        <v>143.5</v>
      </c>
      <c r="T326" s="26">
        <v>131.19999999999999</v>
      </c>
      <c r="U326" s="26">
        <v>141.6</v>
      </c>
      <c r="V326" s="26">
        <v>149</v>
      </c>
      <c r="W326" s="26">
        <v>128.80000000000001</v>
      </c>
      <c r="X326" s="26">
        <v>136.80000000000001</v>
      </c>
      <c r="Y326" s="26">
        <v>139.19999999999999</v>
      </c>
      <c r="Z326" s="26">
        <v>119.9</v>
      </c>
      <c r="AA326" s="26">
        <v>133</v>
      </c>
      <c r="AB326" s="26">
        <v>146.69999999999999</v>
      </c>
      <c r="AC326" s="26">
        <v>132.5</v>
      </c>
      <c r="AD326" s="26">
        <v>132.80000000000001</v>
      </c>
      <c r="AE326" s="26">
        <v>139.5</v>
      </c>
      <c r="AF326" s="26">
        <v>1768.4</v>
      </c>
      <c r="AG326" s="26">
        <v>416.29999999999995</v>
      </c>
      <c r="AH326" s="26">
        <v>414.6</v>
      </c>
      <c r="AI326" s="26">
        <v>271.7</v>
      </c>
      <c r="AJ326" s="26">
        <v>265.8</v>
      </c>
      <c r="AK326" s="26">
        <v>3568.7000000000003</v>
      </c>
    </row>
    <row r="327" spans="1:37" x14ac:dyDescent="0.25">
      <c r="A327" t="s">
        <v>34</v>
      </c>
      <c r="B327">
        <v>2019</v>
      </c>
      <c r="C327" t="s">
        <v>38</v>
      </c>
      <c r="D327" s="25">
        <v>43556</v>
      </c>
      <c r="E327" s="26">
        <f t="shared" ref="E327:AH327" si="8">AVERAGE(E324:E326)</f>
        <v>139.13333333333335</v>
      </c>
      <c r="F327" s="26">
        <f t="shared" si="8"/>
        <v>150.20000000000002</v>
      </c>
      <c r="G327" s="26">
        <f t="shared" si="8"/>
        <v>143.9</v>
      </c>
      <c r="H327" s="26">
        <f t="shared" si="8"/>
        <v>141.76666666666665</v>
      </c>
      <c r="I327" s="26">
        <f t="shared" si="8"/>
        <v>118.3</v>
      </c>
      <c r="J327" s="26">
        <f t="shared" si="8"/>
        <v>137.20000000000002</v>
      </c>
      <c r="K327" s="26">
        <f t="shared" si="8"/>
        <v>134.43333333333334</v>
      </c>
      <c r="L327" s="26">
        <f t="shared" si="8"/>
        <v>119.60000000000001</v>
      </c>
      <c r="M327" s="26">
        <f t="shared" si="8"/>
        <v>110.40000000000002</v>
      </c>
      <c r="N327" s="26">
        <f t="shared" si="8"/>
        <v>140.63333333333335</v>
      </c>
      <c r="O327" s="26">
        <f t="shared" si="8"/>
        <v>128.29999999999998</v>
      </c>
      <c r="P327" s="26">
        <f t="shared" si="8"/>
        <v>153.53333333333333</v>
      </c>
      <c r="Q327" s="26">
        <f t="shared" si="8"/>
        <v>138.29999999999998</v>
      </c>
      <c r="R327" s="26">
        <f t="shared" si="8"/>
        <v>164.96666666666667</v>
      </c>
      <c r="S327" s="26">
        <f t="shared" si="8"/>
        <v>143.26666666666668</v>
      </c>
      <c r="T327" s="26">
        <f t="shared" si="8"/>
        <v>130.80000000000001</v>
      </c>
      <c r="U327" s="26">
        <f t="shared" si="8"/>
        <v>141.36666666666667</v>
      </c>
      <c r="V327" s="26">
        <f t="shared" si="8"/>
        <v>148.4</v>
      </c>
      <c r="W327" s="26">
        <f t="shared" si="8"/>
        <v>128.16666666666666</v>
      </c>
      <c r="X327" s="26">
        <f t="shared" si="8"/>
        <v>136.56666666666666</v>
      </c>
      <c r="Y327" s="26">
        <f t="shared" si="8"/>
        <v>138.5</v>
      </c>
      <c r="Z327" s="26">
        <f t="shared" si="8"/>
        <v>119.23333333333335</v>
      </c>
      <c r="AA327" s="26">
        <f t="shared" si="8"/>
        <v>132.36666666666667</v>
      </c>
      <c r="AB327" s="26">
        <f t="shared" si="8"/>
        <v>146.63333333333333</v>
      </c>
      <c r="AC327" s="26">
        <f t="shared" si="8"/>
        <v>132.4</v>
      </c>
      <c r="AD327" s="26">
        <f t="shared" si="8"/>
        <v>132.33333333333334</v>
      </c>
      <c r="AE327" s="26">
        <f t="shared" si="8"/>
        <v>138.70000000000002</v>
      </c>
      <c r="AF327" s="26">
        <f t="shared" si="8"/>
        <v>1755.7</v>
      </c>
      <c r="AG327" s="26">
        <f t="shared" si="8"/>
        <v>415.43333333333334</v>
      </c>
      <c r="AH327" s="26">
        <f t="shared" si="8"/>
        <v>413.13333333333338</v>
      </c>
      <c r="AI327" s="26">
        <v>270.89999999999998</v>
      </c>
      <c r="AJ327" s="26">
        <v>264.70000000000005</v>
      </c>
      <c r="AK327" s="26">
        <v>3550.7</v>
      </c>
    </row>
    <row r="328" spans="1:37" x14ac:dyDescent="0.25">
      <c r="A328" t="s">
        <v>34</v>
      </c>
      <c r="B328">
        <v>2019</v>
      </c>
      <c r="C328" t="s">
        <v>39</v>
      </c>
      <c r="D328" s="25">
        <v>43586</v>
      </c>
      <c r="E328" s="26">
        <v>140.4</v>
      </c>
      <c r="F328" s="26">
        <v>156.69999999999999</v>
      </c>
      <c r="G328" s="26">
        <v>138.30000000000001</v>
      </c>
      <c r="H328" s="26">
        <v>142.4</v>
      </c>
      <c r="I328" s="26">
        <v>118.6</v>
      </c>
      <c r="J328" s="26">
        <v>149.69999999999999</v>
      </c>
      <c r="K328" s="26">
        <v>161.6</v>
      </c>
      <c r="L328" s="26">
        <v>124.4</v>
      </c>
      <c r="M328" s="26">
        <v>111.2</v>
      </c>
      <c r="N328" s="26">
        <v>141</v>
      </c>
      <c r="O328" s="26">
        <v>128.9</v>
      </c>
      <c r="P328" s="26">
        <v>154.5</v>
      </c>
      <c r="Q328" s="26">
        <v>143.80000000000001</v>
      </c>
      <c r="R328" s="26">
        <v>166.2</v>
      </c>
      <c r="S328" s="26">
        <v>144</v>
      </c>
      <c r="T328" s="26">
        <v>131.69999999999999</v>
      </c>
      <c r="U328" s="26">
        <v>142.19999999999999</v>
      </c>
      <c r="V328" s="26">
        <v>150.1</v>
      </c>
      <c r="W328" s="26">
        <v>129.4</v>
      </c>
      <c r="X328" s="26">
        <v>137.19999999999999</v>
      </c>
      <c r="Y328" s="26">
        <v>139.80000000000001</v>
      </c>
      <c r="Z328" s="26">
        <v>120.1</v>
      </c>
      <c r="AA328" s="26">
        <v>134</v>
      </c>
      <c r="AB328" s="26">
        <v>148</v>
      </c>
      <c r="AC328" s="26">
        <v>132.6</v>
      </c>
      <c r="AD328" s="26">
        <v>133.30000000000001</v>
      </c>
      <c r="AE328" s="26">
        <v>141.5</v>
      </c>
      <c r="AF328" s="26">
        <v>1811.5000000000002</v>
      </c>
      <c r="AG328" s="26">
        <v>417.9</v>
      </c>
      <c r="AH328" s="26">
        <v>416.7</v>
      </c>
      <c r="AI328" s="26">
        <v>272.39999999999998</v>
      </c>
      <c r="AJ328" s="26">
        <v>267.3</v>
      </c>
      <c r="AK328" s="26">
        <v>3620.1000000000004</v>
      </c>
    </row>
    <row r="329" spans="1:37" x14ac:dyDescent="0.25">
      <c r="A329" t="s">
        <v>34</v>
      </c>
      <c r="B329">
        <v>2019</v>
      </c>
      <c r="C329" t="s">
        <v>40</v>
      </c>
      <c r="D329" s="25">
        <v>43617</v>
      </c>
      <c r="E329" s="26">
        <v>140.69999999999999</v>
      </c>
      <c r="F329" s="26">
        <v>159.6</v>
      </c>
      <c r="G329" s="26">
        <v>140.4</v>
      </c>
      <c r="H329" s="26">
        <v>143.4</v>
      </c>
      <c r="I329" s="26">
        <v>118.6</v>
      </c>
      <c r="J329" s="26">
        <v>150.9</v>
      </c>
      <c r="K329" s="26">
        <v>169.8</v>
      </c>
      <c r="L329" s="26">
        <v>127.4</v>
      </c>
      <c r="M329" s="26">
        <v>111.8</v>
      </c>
      <c r="N329" s="26">
        <v>141</v>
      </c>
      <c r="O329" s="26">
        <v>129</v>
      </c>
      <c r="P329" s="26">
        <v>155.1</v>
      </c>
      <c r="Q329" s="26">
        <v>145.6</v>
      </c>
      <c r="R329" s="26">
        <v>166.7</v>
      </c>
      <c r="S329" s="26">
        <v>144.30000000000001</v>
      </c>
      <c r="T329" s="26">
        <v>131.69999999999999</v>
      </c>
      <c r="U329" s="26">
        <v>142.4</v>
      </c>
      <c r="V329" s="26">
        <v>149.4</v>
      </c>
      <c r="W329" s="26">
        <v>130.5</v>
      </c>
      <c r="X329" s="26">
        <v>137.4</v>
      </c>
      <c r="Y329" s="26">
        <v>140.30000000000001</v>
      </c>
      <c r="Z329" s="26">
        <v>119.6</v>
      </c>
      <c r="AA329" s="26">
        <v>134.30000000000001</v>
      </c>
      <c r="AB329" s="26">
        <v>148.9</v>
      </c>
      <c r="AC329" s="26">
        <v>133.69999999999999</v>
      </c>
      <c r="AD329" s="26">
        <v>133.6</v>
      </c>
      <c r="AE329" s="26">
        <v>142.1</v>
      </c>
      <c r="AF329" s="26">
        <v>1833.2999999999997</v>
      </c>
      <c r="AG329" s="26">
        <v>418.4</v>
      </c>
      <c r="AH329" s="26">
        <v>417.29999999999995</v>
      </c>
      <c r="AI329" s="26">
        <v>274</v>
      </c>
      <c r="AJ329" s="26">
        <v>267.89999999999998</v>
      </c>
      <c r="AK329" s="26">
        <v>3646.1</v>
      </c>
    </row>
    <row r="330" spans="1:37" x14ac:dyDescent="0.25">
      <c r="A330" t="s">
        <v>34</v>
      </c>
      <c r="B330">
        <v>2019</v>
      </c>
      <c r="C330" t="s">
        <v>41</v>
      </c>
      <c r="D330" s="25">
        <v>43647</v>
      </c>
      <c r="E330" s="26">
        <v>141.4</v>
      </c>
      <c r="F330" s="26">
        <v>160.19999999999999</v>
      </c>
      <c r="G330" s="26">
        <v>142.5</v>
      </c>
      <c r="H330" s="26">
        <v>144.1</v>
      </c>
      <c r="I330" s="26">
        <v>119.3</v>
      </c>
      <c r="J330" s="26">
        <v>154.69999999999999</v>
      </c>
      <c r="K330" s="26">
        <v>180.1</v>
      </c>
      <c r="L330" s="26">
        <v>128.9</v>
      </c>
      <c r="M330" s="26">
        <v>111.8</v>
      </c>
      <c r="N330" s="26">
        <v>141.6</v>
      </c>
      <c r="O330" s="26">
        <v>129.5</v>
      </c>
      <c r="P330" s="26">
        <v>155.6</v>
      </c>
      <c r="Q330" s="26">
        <v>147.69999999999999</v>
      </c>
      <c r="R330" s="26">
        <v>167.2</v>
      </c>
      <c r="S330" s="26">
        <v>144.69999999999999</v>
      </c>
      <c r="T330" s="26">
        <v>131.9</v>
      </c>
      <c r="U330" s="26">
        <v>142.69999999999999</v>
      </c>
      <c r="V330" s="26">
        <v>150.6</v>
      </c>
      <c r="W330" s="26">
        <v>127</v>
      </c>
      <c r="X330" s="26">
        <v>137.69999999999999</v>
      </c>
      <c r="Y330" s="26">
        <v>140.80000000000001</v>
      </c>
      <c r="Z330" s="26">
        <v>120.6</v>
      </c>
      <c r="AA330" s="26">
        <v>135</v>
      </c>
      <c r="AB330" s="26">
        <v>150.4</v>
      </c>
      <c r="AC330" s="26">
        <v>135.1</v>
      </c>
      <c r="AD330" s="26">
        <v>134.5</v>
      </c>
      <c r="AE330" s="26">
        <v>143.30000000000001</v>
      </c>
      <c r="AF330" s="26">
        <v>1857.3999999999999</v>
      </c>
      <c r="AG330" s="26">
        <v>419.3</v>
      </c>
      <c r="AH330" s="26">
        <v>415.3</v>
      </c>
      <c r="AI330" s="26">
        <v>275.89999999999998</v>
      </c>
      <c r="AJ330" s="26">
        <v>269.5</v>
      </c>
      <c r="AK330" s="26">
        <v>3675.6000000000004</v>
      </c>
    </row>
    <row r="331" spans="1:37" x14ac:dyDescent="0.25">
      <c r="A331" t="s">
        <v>34</v>
      </c>
      <c r="B331">
        <v>2019</v>
      </c>
      <c r="C331" t="s">
        <v>42</v>
      </c>
      <c r="D331" s="25">
        <v>43678</v>
      </c>
      <c r="E331" s="26">
        <v>142.1</v>
      </c>
      <c r="F331" s="26">
        <v>158.30000000000001</v>
      </c>
      <c r="G331" s="26">
        <v>140.80000000000001</v>
      </c>
      <c r="H331" s="26">
        <v>144.9</v>
      </c>
      <c r="I331" s="26">
        <v>119.9</v>
      </c>
      <c r="J331" s="26">
        <v>153.9</v>
      </c>
      <c r="K331" s="26">
        <v>189.1</v>
      </c>
      <c r="L331" s="26">
        <v>129.80000000000001</v>
      </c>
      <c r="M331" s="26">
        <v>112.7</v>
      </c>
      <c r="N331" s="26">
        <v>142.5</v>
      </c>
      <c r="O331" s="26">
        <v>129.80000000000001</v>
      </c>
      <c r="P331" s="26">
        <v>156.19999999999999</v>
      </c>
      <c r="Q331" s="26">
        <v>149.1</v>
      </c>
      <c r="R331" s="26">
        <v>167.9</v>
      </c>
      <c r="S331" s="26">
        <v>145</v>
      </c>
      <c r="T331" s="26">
        <v>132.19999999999999</v>
      </c>
      <c r="U331" s="26">
        <v>143</v>
      </c>
      <c r="V331" s="26">
        <v>151.6</v>
      </c>
      <c r="W331" s="26">
        <v>125.5</v>
      </c>
      <c r="X331" s="26">
        <v>138.1</v>
      </c>
      <c r="Y331" s="26">
        <v>141.5</v>
      </c>
      <c r="Z331" s="26">
        <v>120.8</v>
      </c>
      <c r="AA331" s="26">
        <v>135.4</v>
      </c>
      <c r="AB331" s="26">
        <v>151.5</v>
      </c>
      <c r="AC331" s="26">
        <v>137.80000000000001</v>
      </c>
      <c r="AD331" s="26">
        <v>135.30000000000001</v>
      </c>
      <c r="AE331" s="26">
        <v>144.19999999999999</v>
      </c>
      <c r="AF331" s="26">
        <v>1869.1</v>
      </c>
      <c r="AG331" s="26">
        <v>420.2</v>
      </c>
      <c r="AH331" s="26">
        <v>415.20000000000005</v>
      </c>
      <c r="AI331" s="26">
        <v>279.3</v>
      </c>
      <c r="AJ331" s="26">
        <v>270.70000000000005</v>
      </c>
      <c r="AK331" s="26">
        <v>3694.7</v>
      </c>
    </row>
    <row r="332" spans="1:37" x14ac:dyDescent="0.25">
      <c r="A332" t="s">
        <v>34</v>
      </c>
      <c r="B332">
        <v>2019</v>
      </c>
      <c r="C332" t="s">
        <v>43</v>
      </c>
      <c r="D332" s="25">
        <v>43709</v>
      </c>
      <c r="E332" s="26">
        <v>142.69999999999999</v>
      </c>
      <c r="F332" s="26">
        <v>158.69999999999999</v>
      </c>
      <c r="G332" s="26">
        <v>141.6</v>
      </c>
      <c r="H332" s="26">
        <v>144.9</v>
      </c>
      <c r="I332" s="26">
        <v>120.8</v>
      </c>
      <c r="J332" s="26">
        <v>149.80000000000001</v>
      </c>
      <c r="K332" s="26">
        <v>192.4</v>
      </c>
      <c r="L332" s="26">
        <v>130.30000000000001</v>
      </c>
      <c r="M332" s="26">
        <v>114</v>
      </c>
      <c r="N332" s="26">
        <v>143.80000000000001</v>
      </c>
      <c r="O332" s="26">
        <v>130</v>
      </c>
      <c r="P332" s="26">
        <v>156.4</v>
      </c>
      <c r="Q332" s="26">
        <v>149.5</v>
      </c>
      <c r="R332" s="26">
        <v>168.6</v>
      </c>
      <c r="S332" s="26">
        <v>145.30000000000001</v>
      </c>
      <c r="T332" s="26">
        <v>132.19999999999999</v>
      </c>
      <c r="U332" s="26">
        <v>143.30000000000001</v>
      </c>
      <c r="V332" s="26">
        <v>152.19999999999999</v>
      </c>
      <c r="W332" s="26">
        <v>126.6</v>
      </c>
      <c r="X332" s="26">
        <v>138.30000000000001</v>
      </c>
      <c r="Y332" s="26">
        <v>141.9</v>
      </c>
      <c r="Z332" s="26">
        <v>121.2</v>
      </c>
      <c r="AA332" s="26">
        <v>135.9</v>
      </c>
      <c r="AB332" s="26">
        <v>151.6</v>
      </c>
      <c r="AC332" s="26">
        <v>139</v>
      </c>
      <c r="AD332" s="26">
        <v>135.69999999999999</v>
      </c>
      <c r="AE332" s="26">
        <v>144.69999999999999</v>
      </c>
      <c r="AF332" s="26">
        <v>1874.9</v>
      </c>
      <c r="AG332" s="26">
        <v>420.8</v>
      </c>
      <c r="AH332" s="26">
        <v>417.09999999999997</v>
      </c>
      <c r="AI332" s="26">
        <v>280.89999999999998</v>
      </c>
      <c r="AJ332" s="26">
        <v>271.60000000000002</v>
      </c>
      <c r="AK332" s="26">
        <v>3706.7000000000003</v>
      </c>
    </row>
    <row r="333" spans="1:37" x14ac:dyDescent="0.25">
      <c r="A333" t="s">
        <v>34</v>
      </c>
      <c r="B333">
        <v>2019</v>
      </c>
      <c r="C333" t="s">
        <v>44</v>
      </c>
      <c r="D333" s="25">
        <v>43739</v>
      </c>
      <c r="E333" s="26">
        <v>143.5</v>
      </c>
      <c r="F333" s="26">
        <v>159.80000000000001</v>
      </c>
      <c r="G333" s="26">
        <v>144.69999999999999</v>
      </c>
      <c r="H333" s="26">
        <v>145.6</v>
      </c>
      <c r="I333" s="26">
        <v>121.1</v>
      </c>
      <c r="J333" s="26">
        <v>150.6</v>
      </c>
      <c r="K333" s="26">
        <v>207.2</v>
      </c>
      <c r="L333" s="26">
        <v>131.19999999999999</v>
      </c>
      <c r="M333" s="26">
        <v>114.8</v>
      </c>
      <c r="N333" s="26">
        <v>145.19999999999999</v>
      </c>
      <c r="O333" s="26">
        <v>130.19999999999999</v>
      </c>
      <c r="P333" s="26">
        <v>156.80000000000001</v>
      </c>
      <c r="Q333" s="26">
        <v>151.9</v>
      </c>
      <c r="R333" s="26">
        <v>169.3</v>
      </c>
      <c r="S333" s="26">
        <v>145.9</v>
      </c>
      <c r="T333" s="26">
        <v>132.4</v>
      </c>
      <c r="U333" s="26">
        <v>143.9</v>
      </c>
      <c r="V333" s="26">
        <v>153</v>
      </c>
      <c r="W333" s="26">
        <v>128.9</v>
      </c>
      <c r="X333" s="26">
        <v>138.69999999999999</v>
      </c>
      <c r="Y333" s="26">
        <v>142.4</v>
      </c>
      <c r="Z333" s="26">
        <v>121.5</v>
      </c>
      <c r="AA333" s="26">
        <v>136.19999999999999</v>
      </c>
      <c r="AB333" s="26">
        <v>151.69999999999999</v>
      </c>
      <c r="AC333" s="26">
        <v>139.5</v>
      </c>
      <c r="AD333" s="26">
        <v>136</v>
      </c>
      <c r="AE333" s="26">
        <v>146</v>
      </c>
      <c r="AF333" s="26">
        <v>1902.6000000000001</v>
      </c>
      <c r="AG333" s="26">
        <v>422.20000000000005</v>
      </c>
      <c r="AH333" s="26">
        <v>420.59999999999997</v>
      </c>
      <c r="AI333" s="26">
        <v>281.89999999999998</v>
      </c>
      <c r="AJ333" s="26">
        <v>272.2</v>
      </c>
      <c r="AK333" s="26">
        <v>3742</v>
      </c>
    </row>
    <row r="334" spans="1:37" x14ac:dyDescent="0.25">
      <c r="A334" t="s">
        <v>34</v>
      </c>
      <c r="B334">
        <v>2019</v>
      </c>
      <c r="C334" t="s">
        <v>46</v>
      </c>
      <c r="D334" s="25">
        <v>43770</v>
      </c>
      <c r="E334" s="26">
        <v>144.1</v>
      </c>
      <c r="F334" s="26">
        <v>162.4</v>
      </c>
      <c r="G334" s="26">
        <v>148.4</v>
      </c>
      <c r="H334" s="26">
        <v>145.9</v>
      </c>
      <c r="I334" s="26">
        <v>121.5</v>
      </c>
      <c r="J334" s="26">
        <v>148.80000000000001</v>
      </c>
      <c r="K334" s="26">
        <v>215.7</v>
      </c>
      <c r="L334" s="26">
        <v>134.6</v>
      </c>
      <c r="M334" s="26">
        <v>115</v>
      </c>
      <c r="N334" s="26">
        <v>146.30000000000001</v>
      </c>
      <c r="O334" s="26">
        <v>130.5</v>
      </c>
      <c r="P334" s="26">
        <v>157.19999999999999</v>
      </c>
      <c r="Q334" s="26">
        <v>153.6</v>
      </c>
      <c r="R334" s="26">
        <v>169.9</v>
      </c>
      <c r="S334" s="26">
        <v>146.30000000000001</v>
      </c>
      <c r="T334" s="26">
        <v>132.6</v>
      </c>
      <c r="U334" s="26">
        <v>144.19999999999999</v>
      </c>
      <c r="V334" s="26">
        <v>153.5</v>
      </c>
      <c r="W334" s="26">
        <v>132.19999999999999</v>
      </c>
      <c r="X334" s="26">
        <v>139.1</v>
      </c>
      <c r="Y334" s="26">
        <v>142.80000000000001</v>
      </c>
      <c r="Z334" s="26">
        <v>121.7</v>
      </c>
      <c r="AA334" s="26">
        <v>136.69999999999999</v>
      </c>
      <c r="AB334" s="26">
        <v>151.80000000000001</v>
      </c>
      <c r="AC334" s="26">
        <v>139.80000000000001</v>
      </c>
      <c r="AD334" s="26">
        <v>136.30000000000001</v>
      </c>
      <c r="AE334" s="26">
        <v>147</v>
      </c>
      <c r="AF334" s="26">
        <v>1923.9999999999998</v>
      </c>
      <c r="AG334" s="26">
        <v>423.09999999999997</v>
      </c>
      <c r="AH334" s="26">
        <v>424.79999999999995</v>
      </c>
      <c r="AI334" s="26">
        <v>282.60000000000002</v>
      </c>
      <c r="AJ334" s="26">
        <v>273</v>
      </c>
      <c r="AK334" s="26">
        <v>3770.8999999999992</v>
      </c>
    </row>
    <row r="335" spans="1:37" x14ac:dyDescent="0.25">
      <c r="A335" t="s">
        <v>34</v>
      </c>
      <c r="B335">
        <v>2019</v>
      </c>
      <c r="C335" t="s">
        <v>47</v>
      </c>
      <c r="D335" s="25">
        <v>43800</v>
      </c>
      <c r="E335" s="26">
        <v>144.9</v>
      </c>
      <c r="F335" s="26">
        <v>164.5</v>
      </c>
      <c r="G335" s="26">
        <v>153.69999999999999</v>
      </c>
      <c r="H335" s="26">
        <v>147.5</v>
      </c>
      <c r="I335" s="26">
        <v>122.7</v>
      </c>
      <c r="J335" s="26">
        <v>147.19999999999999</v>
      </c>
      <c r="K335" s="26">
        <v>231.5</v>
      </c>
      <c r="L335" s="26">
        <v>137.19999999999999</v>
      </c>
      <c r="M335" s="26">
        <v>114.7</v>
      </c>
      <c r="N335" s="26">
        <v>148</v>
      </c>
      <c r="O335" s="26">
        <v>130.80000000000001</v>
      </c>
      <c r="P335" s="26">
        <v>157.69999999999999</v>
      </c>
      <c r="Q335" s="26">
        <v>156.30000000000001</v>
      </c>
      <c r="R335" s="26">
        <v>170.4</v>
      </c>
      <c r="S335" s="26">
        <v>146.80000000000001</v>
      </c>
      <c r="T335" s="26">
        <v>132.80000000000001</v>
      </c>
      <c r="U335" s="26">
        <v>144.6</v>
      </c>
      <c r="V335" s="26">
        <v>152.80000000000001</v>
      </c>
      <c r="W335" s="26">
        <v>133.6</v>
      </c>
      <c r="X335" s="26">
        <v>139.80000000000001</v>
      </c>
      <c r="Y335" s="26">
        <v>143.19999999999999</v>
      </c>
      <c r="Z335" s="26">
        <v>125.2</v>
      </c>
      <c r="AA335" s="26">
        <v>136.80000000000001</v>
      </c>
      <c r="AB335" s="26">
        <v>151.9</v>
      </c>
      <c r="AC335" s="26">
        <v>140.19999999999999</v>
      </c>
      <c r="AD335" s="26">
        <v>137.69999999999999</v>
      </c>
      <c r="AE335" s="26">
        <v>148.30000000000001</v>
      </c>
      <c r="AF335" s="26">
        <v>1956.7</v>
      </c>
      <c r="AG335" s="26">
        <v>424.20000000000005</v>
      </c>
      <c r="AH335" s="26">
        <v>426.2</v>
      </c>
      <c r="AI335" s="26">
        <v>283.39999999999998</v>
      </c>
      <c r="AJ335" s="26">
        <v>274.5</v>
      </c>
      <c r="AK335" s="26">
        <v>3812.4999999999995</v>
      </c>
    </row>
    <row r="336" spans="1:37" x14ac:dyDescent="0.25">
      <c r="A336" t="s">
        <v>34</v>
      </c>
      <c r="B336">
        <v>2020</v>
      </c>
      <c r="C336" t="s">
        <v>32</v>
      </c>
      <c r="D336" s="25">
        <v>43831</v>
      </c>
      <c r="E336" s="26">
        <v>145.6</v>
      </c>
      <c r="F336" s="26">
        <v>167.6</v>
      </c>
      <c r="G336" s="26">
        <v>157</v>
      </c>
      <c r="H336" s="26">
        <v>149.30000000000001</v>
      </c>
      <c r="I336" s="26">
        <v>126.3</v>
      </c>
      <c r="J336" s="26">
        <v>144.4</v>
      </c>
      <c r="K336" s="26">
        <v>207.8</v>
      </c>
      <c r="L336" s="26">
        <v>139.1</v>
      </c>
      <c r="M336" s="26">
        <v>114.8</v>
      </c>
      <c r="N336" s="26">
        <v>149.5</v>
      </c>
      <c r="O336" s="26">
        <v>131.1</v>
      </c>
      <c r="P336" s="26">
        <v>158.5</v>
      </c>
      <c r="Q336" s="26">
        <v>154.4</v>
      </c>
      <c r="R336" s="26">
        <v>170.8</v>
      </c>
      <c r="S336" s="26">
        <v>147</v>
      </c>
      <c r="T336" s="26">
        <v>133.19999999999999</v>
      </c>
      <c r="U336" s="26">
        <v>144.9</v>
      </c>
      <c r="V336" s="26">
        <v>153.9</v>
      </c>
      <c r="W336" s="26">
        <v>135.1</v>
      </c>
      <c r="X336" s="26">
        <v>140.1</v>
      </c>
      <c r="Y336" s="26">
        <v>143.80000000000001</v>
      </c>
      <c r="Z336" s="26">
        <v>126.1</v>
      </c>
      <c r="AA336" s="26">
        <v>137.19999999999999</v>
      </c>
      <c r="AB336" s="26">
        <v>152.1</v>
      </c>
      <c r="AC336" s="26">
        <v>142.1</v>
      </c>
      <c r="AD336" s="26">
        <v>138.4</v>
      </c>
      <c r="AE336" s="26">
        <v>148.19999999999999</v>
      </c>
      <c r="AF336" s="26">
        <v>1945.3999999999999</v>
      </c>
      <c r="AG336" s="26">
        <v>425.1</v>
      </c>
      <c r="AH336" s="26">
        <v>429.1</v>
      </c>
      <c r="AI336" s="26">
        <v>285.89999999999998</v>
      </c>
      <c r="AJ336" s="26">
        <v>275.60000000000002</v>
      </c>
      <c r="AK336" s="26">
        <v>3810.0999999999995</v>
      </c>
    </row>
    <row r="337" spans="1:37" x14ac:dyDescent="0.25">
      <c r="A337" t="s">
        <v>34</v>
      </c>
      <c r="B337">
        <v>2020</v>
      </c>
      <c r="C337" t="s">
        <v>36</v>
      </c>
      <c r="D337" s="25">
        <v>43862</v>
      </c>
      <c r="E337" s="26">
        <v>146.19999999999999</v>
      </c>
      <c r="F337" s="26">
        <v>167.6</v>
      </c>
      <c r="G337" s="26">
        <v>153.1</v>
      </c>
      <c r="H337" s="26">
        <v>150.69999999999999</v>
      </c>
      <c r="I337" s="26">
        <v>127.4</v>
      </c>
      <c r="J337" s="26">
        <v>143.1</v>
      </c>
      <c r="K337" s="26">
        <v>181.7</v>
      </c>
      <c r="L337" s="26">
        <v>139.6</v>
      </c>
      <c r="M337" s="26">
        <v>114.6</v>
      </c>
      <c r="N337" s="26">
        <v>150.4</v>
      </c>
      <c r="O337" s="26">
        <v>131.5</v>
      </c>
      <c r="P337" s="26">
        <v>159</v>
      </c>
      <c r="Q337" s="26">
        <v>151.69999999999999</v>
      </c>
      <c r="R337" s="26">
        <v>172</v>
      </c>
      <c r="S337" s="26">
        <v>147.30000000000001</v>
      </c>
      <c r="T337" s="26">
        <v>133.5</v>
      </c>
      <c r="U337" s="26">
        <v>145.19999999999999</v>
      </c>
      <c r="V337" s="26">
        <v>154.80000000000001</v>
      </c>
      <c r="W337" s="26">
        <v>138.9</v>
      </c>
      <c r="X337" s="26">
        <v>140.4</v>
      </c>
      <c r="Y337" s="26">
        <v>144.4</v>
      </c>
      <c r="Z337" s="26">
        <v>125.2</v>
      </c>
      <c r="AA337" s="26">
        <v>137.69999999999999</v>
      </c>
      <c r="AB337" s="26">
        <v>152.19999999999999</v>
      </c>
      <c r="AC337" s="26">
        <v>143.5</v>
      </c>
      <c r="AD337" s="26">
        <v>138.4</v>
      </c>
      <c r="AE337" s="26">
        <v>147.69999999999999</v>
      </c>
      <c r="AF337" s="26">
        <v>1916.6</v>
      </c>
      <c r="AG337" s="26">
        <v>426</v>
      </c>
      <c r="AH337" s="26">
        <v>434.1</v>
      </c>
      <c r="AI337" s="26">
        <v>287.89999999999998</v>
      </c>
      <c r="AJ337" s="26">
        <v>276.10000000000002</v>
      </c>
      <c r="AK337" s="26">
        <v>3790.1</v>
      </c>
    </row>
    <row r="338" spans="1:37" x14ac:dyDescent="0.25">
      <c r="A338" t="s">
        <v>34</v>
      </c>
      <c r="B338">
        <v>2020</v>
      </c>
      <c r="C338" t="s">
        <v>37</v>
      </c>
      <c r="D338" s="25">
        <v>43891</v>
      </c>
      <c r="E338" s="26">
        <v>146.5</v>
      </c>
      <c r="F338" s="26">
        <v>167.5</v>
      </c>
      <c r="G338" s="26">
        <v>148.9</v>
      </c>
      <c r="H338" s="26">
        <v>151.1</v>
      </c>
      <c r="I338" s="26">
        <v>127.5</v>
      </c>
      <c r="J338" s="26">
        <v>143.30000000000001</v>
      </c>
      <c r="K338" s="26">
        <v>167</v>
      </c>
      <c r="L338" s="26">
        <v>139.69999999999999</v>
      </c>
      <c r="M338" s="26">
        <v>114.4</v>
      </c>
      <c r="N338" s="26">
        <v>151.5</v>
      </c>
      <c r="O338" s="26">
        <v>131.9</v>
      </c>
      <c r="P338" s="26">
        <v>159.1</v>
      </c>
      <c r="Q338" s="26">
        <v>150.1</v>
      </c>
      <c r="R338" s="26">
        <v>173.3</v>
      </c>
      <c r="S338" s="26">
        <v>147.69999999999999</v>
      </c>
      <c r="T338" s="26">
        <v>133.80000000000001</v>
      </c>
      <c r="U338" s="26">
        <v>145.6</v>
      </c>
      <c r="V338" s="26">
        <v>154.5</v>
      </c>
      <c r="W338" s="26">
        <v>141.4</v>
      </c>
      <c r="X338" s="26">
        <v>140.80000000000001</v>
      </c>
      <c r="Y338" s="26">
        <v>145</v>
      </c>
      <c r="Z338" s="26">
        <v>124.6</v>
      </c>
      <c r="AA338" s="26">
        <v>137.9</v>
      </c>
      <c r="AB338" s="26">
        <v>152.5</v>
      </c>
      <c r="AC338" s="26">
        <v>145.30000000000001</v>
      </c>
      <c r="AD338" s="26">
        <v>138.69999999999999</v>
      </c>
      <c r="AE338" s="26">
        <v>147.30000000000001</v>
      </c>
      <c r="AF338" s="26">
        <v>1898.5</v>
      </c>
      <c r="AG338" s="26">
        <v>427.1</v>
      </c>
      <c r="AH338" s="26">
        <v>436.7</v>
      </c>
      <c r="AI338" s="26">
        <v>290.3</v>
      </c>
      <c r="AJ338" s="26">
        <v>276.60000000000002</v>
      </c>
      <c r="AK338" s="26">
        <v>3779.6</v>
      </c>
    </row>
    <row r="339" spans="1:37" x14ac:dyDescent="0.25">
      <c r="A339" t="s">
        <v>34</v>
      </c>
      <c r="B339">
        <v>2020</v>
      </c>
      <c r="C339" t="s">
        <v>38</v>
      </c>
      <c r="D339" s="25">
        <v>43922</v>
      </c>
      <c r="E339" s="26">
        <v>151.80000000000001</v>
      </c>
      <c r="F339" s="26">
        <f>AVERAGE(F336:F338)</f>
        <v>167.56666666666666</v>
      </c>
      <c r="G339" s="26">
        <v>151.9</v>
      </c>
      <c r="H339" s="26">
        <v>155.5</v>
      </c>
      <c r="I339" s="26">
        <v>131.6</v>
      </c>
      <c r="J339" s="26">
        <v>152.9</v>
      </c>
      <c r="K339" s="26">
        <v>180</v>
      </c>
      <c r="L339" s="26">
        <v>150.80000000000001</v>
      </c>
      <c r="M339" s="26">
        <v>121.2</v>
      </c>
      <c r="N339" s="26">
        <v>154</v>
      </c>
      <c r="O339" s="26">
        <v>133.5</v>
      </c>
      <c r="P339" s="26">
        <f>AVERAGE(P336:P338)</f>
        <v>158.86666666666667</v>
      </c>
      <c r="Q339" s="26">
        <v>153.5</v>
      </c>
      <c r="R339" s="26">
        <f t="shared" ref="R339:U340" si="9">AVERAGE(R336:R338)</f>
        <v>172.03333333333333</v>
      </c>
      <c r="S339" s="26">
        <f t="shared" si="9"/>
        <v>147.33333333333334</v>
      </c>
      <c r="T339" s="26">
        <f t="shared" si="9"/>
        <v>133.5</v>
      </c>
      <c r="U339" s="26">
        <f t="shared" si="9"/>
        <v>145.23333333333335</v>
      </c>
      <c r="V339" s="26">
        <v>155.6</v>
      </c>
      <c r="W339" s="26">
        <v>137.1</v>
      </c>
      <c r="X339" s="26">
        <f>AVERAGE(X336:X338)</f>
        <v>140.43333333333334</v>
      </c>
      <c r="Y339" s="26">
        <v>144.80000000000001</v>
      </c>
      <c r="Z339" s="26">
        <f t="shared" ref="Z339:AE340" si="10">AVERAGE(Z336:Z338)</f>
        <v>125.3</v>
      </c>
      <c r="AA339" s="26">
        <f t="shared" si="10"/>
        <v>137.6</v>
      </c>
      <c r="AB339" s="26">
        <f t="shared" si="10"/>
        <v>152.26666666666665</v>
      </c>
      <c r="AC339" s="26">
        <f t="shared" si="10"/>
        <v>143.63333333333335</v>
      </c>
      <c r="AD339" s="26">
        <f t="shared" si="10"/>
        <v>138.5</v>
      </c>
      <c r="AE339" s="26">
        <f t="shared" si="10"/>
        <v>147.73333333333332</v>
      </c>
      <c r="AF339" s="26">
        <v>1636.7</v>
      </c>
      <c r="AG339" s="26">
        <v>0</v>
      </c>
      <c r="AH339" s="26">
        <v>292.7</v>
      </c>
      <c r="AI339" s="26">
        <v>288.43333333333339</v>
      </c>
      <c r="AJ339" s="26">
        <v>276.10000000000002</v>
      </c>
      <c r="AK339" s="26">
        <v>2943.5333333333333</v>
      </c>
    </row>
    <row r="340" spans="1:37" x14ac:dyDescent="0.25">
      <c r="A340" t="s">
        <v>34</v>
      </c>
      <c r="B340">
        <v>2020</v>
      </c>
      <c r="C340" t="s">
        <v>39</v>
      </c>
      <c r="D340" s="25">
        <v>43952</v>
      </c>
      <c r="E340" s="26">
        <f>AVERAGE(E337:E339)</f>
        <v>148.16666666666666</v>
      </c>
      <c r="F340" s="26">
        <f>AVERAGE(F337:F339)</f>
        <v>167.55555555555557</v>
      </c>
      <c r="G340" s="26">
        <f t="shared" ref="G340:O340" si="11">AVERAGE(G337:G339)</f>
        <v>151.29999999999998</v>
      </c>
      <c r="H340" s="26">
        <f t="shared" si="11"/>
        <v>152.43333333333331</v>
      </c>
      <c r="I340" s="26">
        <f t="shared" si="11"/>
        <v>128.83333333333334</v>
      </c>
      <c r="J340" s="26">
        <f t="shared" si="11"/>
        <v>146.43333333333331</v>
      </c>
      <c r="K340" s="26">
        <f t="shared" si="11"/>
        <v>176.23333333333335</v>
      </c>
      <c r="L340" s="26">
        <f t="shared" si="11"/>
        <v>143.36666666666665</v>
      </c>
      <c r="M340" s="26">
        <f t="shared" si="11"/>
        <v>116.73333333333333</v>
      </c>
      <c r="N340" s="26">
        <f t="shared" si="11"/>
        <v>151.96666666666667</v>
      </c>
      <c r="O340" s="26">
        <f t="shared" si="11"/>
        <v>132.29999999999998</v>
      </c>
      <c r="P340" s="26">
        <f>AVERAGE(P337:P339)</f>
        <v>158.98888888888891</v>
      </c>
      <c r="Q340" s="26">
        <f>AVERAGE(Q337:Q339)</f>
        <v>151.76666666666665</v>
      </c>
      <c r="R340" s="26">
        <f t="shared" si="9"/>
        <v>172.44444444444446</v>
      </c>
      <c r="S340" s="26">
        <f t="shared" si="9"/>
        <v>147.44444444444446</v>
      </c>
      <c r="T340" s="26">
        <f t="shared" si="9"/>
        <v>133.6</v>
      </c>
      <c r="U340" s="26">
        <f t="shared" si="9"/>
        <v>145.34444444444443</v>
      </c>
      <c r="V340" s="26">
        <f>AVERAGE(V337:V339)</f>
        <v>154.96666666666667</v>
      </c>
      <c r="W340" s="26">
        <f>AVERAGE(W337:W339)</f>
        <v>139.13333333333333</v>
      </c>
      <c r="X340" s="26">
        <f>AVERAGE(X337:X339)</f>
        <v>140.54444444444445</v>
      </c>
      <c r="Y340" s="26">
        <f>AVERAGE(Y337:Y339)</f>
        <v>144.73333333333332</v>
      </c>
      <c r="Z340" s="26">
        <f t="shared" si="10"/>
        <v>125.03333333333335</v>
      </c>
      <c r="AA340" s="26">
        <f t="shared" si="10"/>
        <v>137.73333333333335</v>
      </c>
      <c r="AB340" s="26">
        <f t="shared" si="10"/>
        <v>152.32222222222222</v>
      </c>
      <c r="AC340" s="26">
        <f t="shared" si="10"/>
        <v>144.14444444444447</v>
      </c>
      <c r="AD340" s="26">
        <f t="shared" si="10"/>
        <v>138.53333333333333</v>
      </c>
      <c r="AE340" s="26">
        <f t="shared" si="10"/>
        <v>147.57777777777778</v>
      </c>
      <c r="AF340" s="26">
        <v>0</v>
      </c>
      <c r="AG340" s="26">
        <v>0</v>
      </c>
      <c r="AH340" s="26">
        <v>0</v>
      </c>
      <c r="AI340" s="26">
        <v>288.87777777777779</v>
      </c>
      <c r="AJ340" s="26">
        <v>276.26666666666665</v>
      </c>
      <c r="AK340" s="26">
        <v>1014.9444444444446</v>
      </c>
    </row>
    <row r="341" spans="1:37" x14ac:dyDescent="0.25">
      <c r="A341" t="s">
        <v>34</v>
      </c>
      <c r="B341">
        <v>2020</v>
      </c>
      <c r="C341" t="s">
        <v>40</v>
      </c>
      <c r="D341" s="25">
        <v>43983</v>
      </c>
      <c r="E341" s="26">
        <v>152.69999999999999</v>
      </c>
      <c r="F341" s="26">
        <v>197</v>
      </c>
      <c r="G341" s="26">
        <v>154.6</v>
      </c>
      <c r="H341" s="26">
        <v>153.4</v>
      </c>
      <c r="I341" s="26">
        <v>132.9</v>
      </c>
      <c r="J341" s="26">
        <v>151.80000000000001</v>
      </c>
      <c r="K341" s="26">
        <v>171.2</v>
      </c>
      <c r="L341" s="26">
        <v>152</v>
      </c>
      <c r="M341" s="26">
        <v>116.3</v>
      </c>
      <c r="N341" s="26">
        <v>158.80000000000001</v>
      </c>
      <c r="O341" s="26">
        <v>135.6</v>
      </c>
      <c r="P341" s="26">
        <v>161.69999999999999</v>
      </c>
      <c r="Q341" s="26">
        <v>157</v>
      </c>
      <c r="R341" s="26">
        <v>186.7</v>
      </c>
      <c r="S341" s="26">
        <v>149.1</v>
      </c>
      <c r="T341" s="26">
        <v>136.6</v>
      </c>
      <c r="U341" s="26">
        <v>147.19999999999999</v>
      </c>
      <c r="V341" s="26">
        <v>154.69999999999999</v>
      </c>
      <c r="W341" s="26">
        <v>137.1</v>
      </c>
      <c r="X341" s="26">
        <v>140.4</v>
      </c>
      <c r="Y341" s="26">
        <v>148.1</v>
      </c>
      <c r="Z341" s="26">
        <v>129.30000000000001</v>
      </c>
      <c r="AA341" s="26">
        <v>144.5</v>
      </c>
      <c r="AB341" s="26">
        <v>152.5</v>
      </c>
      <c r="AC341" s="26">
        <v>152.19999999999999</v>
      </c>
      <c r="AD341" s="26">
        <v>142</v>
      </c>
      <c r="AE341" s="26">
        <v>150.80000000000001</v>
      </c>
      <c r="AF341" s="26">
        <v>1994.9999999999998</v>
      </c>
      <c r="AG341" s="26">
        <v>432.9</v>
      </c>
      <c r="AH341" s="26">
        <v>432.19999999999993</v>
      </c>
      <c r="AI341" s="26">
        <v>300.29999999999995</v>
      </c>
      <c r="AJ341" s="26">
        <v>286.5</v>
      </c>
      <c r="AK341" s="26">
        <v>3915.3999999999996</v>
      </c>
    </row>
    <row r="342" spans="1:37" x14ac:dyDescent="0.25">
      <c r="A342" t="s">
        <v>34</v>
      </c>
      <c r="B342">
        <v>2020</v>
      </c>
      <c r="C342" t="s">
        <v>41</v>
      </c>
      <c r="D342" s="25">
        <v>44013</v>
      </c>
      <c r="E342" s="26">
        <v>152.69999999999999</v>
      </c>
      <c r="F342" s="26">
        <v>197</v>
      </c>
      <c r="G342" s="26">
        <v>154.6</v>
      </c>
      <c r="H342" s="26">
        <v>153.4</v>
      </c>
      <c r="I342" s="26">
        <v>132.9</v>
      </c>
      <c r="J342" s="26">
        <v>151.80000000000001</v>
      </c>
      <c r="K342" s="26">
        <v>171.2</v>
      </c>
      <c r="L342" s="26">
        <v>152</v>
      </c>
      <c r="M342" s="26">
        <v>116.3</v>
      </c>
      <c r="N342" s="26">
        <v>158.80000000000001</v>
      </c>
      <c r="O342" s="26">
        <v>135.6</v>
      </c>
      <c r="P342" s="26">
        <v>161.69999999999999</v>
      </c>
      <c r="Q342" s="26">
        <v>157</v>
      </c>
      <c r="R342" s="26">
        <v>186.7</v>
      </c>
      <c r="S342" s="26">
        <v>149.1</v>
      </c>
      <c r="T342" s="26">
        <v>136.6</v>
      </c>
      <c r="U342" s="26">
        <v>147.19999999999999</v>
      </c>
      <c r="V342" s="26">
        <v>154.69999999999999</v>
      </c>
      <c r="W342" s="26">
        <v>137.1</v>
      </c>
      <c r="X342" s="26">
        <v>140.4</v>
      </c>
      <c r="Y342" s="26">
        <v>148.1</v>
      </c>
      <c r="Z342" s="26">
        <v>129.30000000000001</v>
      </c>
      <c r="AA342" s="26">
        <v>144.5</v>
      </c>
      <c r="AB342" s="26">
        <v>152.5</v>
      </c>
      <c r="AC342" s="26">
        <v>152.19999999999999</v>
      </c>
      <c r="AD342" s="26">
        <v>142</v>
      </c>
      <c r="AE342" s="26">
        <v>150.80000000000001</v>
      </c>
      <c r="AF342" s="26">
        <v>1994.9999999999998</v>
      </c>
      <c r="AG342" s="26">
        <v>432.9</v>
      </c>
      <c r="AH342" s="26">
        <v>432.19999999999993</v>
      </c>
      <c r="AI342" s="26">
        <v>300.29999999999995</v>
      </c>
      <c r="AJ342" s="26">
        <v>286.5</v>
      </c>
      <c r="AK342" s="26">
        <v>3915.3999999999996</v>
      </c>
    </row>
    <row r="343" spans="1:37" x14ac:dyDescent="0.25">
      <c r="A343" t="s">
        <v>34</v>
      </c>
      <c r="B343">
        <v>2020</v>
      </c>
      <c r="C343" t="s">
        <v>42</v>
      </c>
      <c r="D343" s="25">
        <v>44044</v>
      </c>
      <c r="E343" s="26">
        <v>151.6</v>
      </c>
      <c r="F343" s="26">
        <v>197.8</v>
      </c>
      <c r="G343" s="26">
        <v>154.5</v>
      </c>
      <c r="H343" s="26">
        <v>153.4</v>
      </c>
      <c r="I343" s="26">
        <v>133.4</v>
      </c>
      <c r="J343" s="26">
        <v>154.5</v>
      </c>
      <c r="K343" s="26">
        <v>191.9</v>
      </c>
      <c r="L343" s="26">
        <v>151.30000000000001</v>
      </c>
      <c r="M343" s="26">
        <v>116.8</v>
      </c>
      <c r="N343" s="26">
        <v>160</v>
      </c>
      <c r="O343" s="26">
        <v>136.5</v>
      </c>
      <c r="P343" s="26">
        <v>163.30000000000001</v>
      </c>
      <c r="Q343" s="26">
        <v>159.9</v>
      </c>
      <c r="R343" s="26">
        <v>187.2</v>
      </c>
      <c r="S343" s="26">
        <v>150</v>
      </c>
      <c r="T343" s="26">
        <v>135.19999999999999</v>
      </c>
      <c r="U343" s="26">
        <v>147.80000000000001</v>
      </c>
      <c r="V343" s="26">
        <v>155.5</v>
      </c>
      <c r="W343" s="26">
        <v>138.30000000000001</v>
      </c>
      <c r="X343" s="26">
        <v>144.5</v>
      </c>
      <c r="Y343" s="26">
        <v>148.69999999999999</v>
      </c>
      <c r="Z343" s="26">
        <v>133.9</v>
      </c>
      <c r="AA343" s="26">
        <v>141.19999999999999</v>
      </c>
      <c r="AB343" s="26">
        <v>155.5</v>
      </c>
      <c r="AC343" s="26">
        <v>155.19999999999999</v>
      </c>
      <c r="AD343" s="26">
        <v>144.80000000000001</v>
      </c>
      <c r="AE343" s="26">
        <v>152.9</v>
      </c>
      <c r="AF343" s="26">
        <v>2024.8999999999999</v>
      </c>
      <c r="AG343" s="26">
        <v>433</v>
      </c>
      <c r="AH343" s="26">
        <v>438.3</v>
      </c>
      <c r="AI343" s="26">
        <v>303.89999999999998</v>
      </c>
      <c r="AJ343" s="26">
        <v>286</v>
      </c>
      <c r="AK343" s="26">
        <v>3962.7000000000003</v>
      </c>
    </row>
    <row r="344" spans="1:37" x14ac:dyDescent="0.25">
      <c r="A344" t="s">
        <v>34</v>
      </c>
      <c r="B344">
        <v>2020</v>
      </c>
      <c r="C344" t="s">
        <v>43</v>
      </c>
      <c r="D344" s="25">
        <v>44075</v>
      </c>
      <c r="E344" s="26">
        <v>151.5</v>
      </c>
      <c r="F344" s="26">
        <v>193.1</v>
      </c>
      <c r="G344" s="26">
        <v>157.30000000000001</v>
      </c>
      <c r="H344" s="26">
        <v>153.9</v>
      </c>
      <c r="I344" s="26">
        <v>134.4</v>
      </c>
      <c r="J344" s="26">
        <v>155.4</v>
      </c>
      <c r="K344" s="26">
        <v>202</v>
      </c>
      <c r="L344" s="26">
        <v>150.80000000000001</v>
      </c>
      <c r="M344" s="26">
        <v>118.9</v>
      </c>
      <c r="N344" s="26">
        <v>160.9</v>
      </c>
      <c r="O344" s="26">
        <v>137.69999999999999</v>
      </c>
      <c r="P344" s="26">
        <v>164.4</v>
      </c>
      <c r="Q344" s="26">
        <v>161.30000000000001</v>
      </c>
      <c r="R344" s="26">
        <v>188.7</v>
      </c>
      <c r="S344" s="26">
        <v>150.19999999999999</v>
      </c>
      <c r="T344" s="26">
        <v>136.30000000000001</v>
      </c>
      <c r="U344" s="26">
        <v>148.1</v>
      </c>
      <c r="V344" s="26">
        <v>156.30000000000001</v>
      </c>
      <c r="W344" s="26">
        <v>137.19999999999999</v>
      </c>
      <c r="X344" s="26">
        <v>145.4</v>
      </c>
      <c r="Y344" s="26">
        <v>150</v>
      </c>
      <c r="Z344" s="26">
        <v>135.1</v>
      </c>
      <c r="AA344" s="26">
        <v>141.80000000000001</v>
      </c>
      <c r="AB344" s="26">
        <v>154.9</v>
      </c>
      <c r="AC344" s="26">
        <v>159.80000000000001</v>
      </c>
      <c r="AD344" s="26">
        <v>146</v>
      </c>
      <c r="AE344" s="26">
        <v>154</v>
      </c>
      <c r="AF344" s="26">
        <v>2041.6000000000001</v>
      </c>
      <c r="AG344" s="26">
        <v>434.6</v>
      </c>
      <c r="AH344" s="26">
        <v>438.9</v>
      </c>
      <c r="AI344" s="26">
        <v>309.8</v>
      </c>
      <c r="AJ344" s="26">
        <v>287.8</v>
      </c>
      <c r="AK344" s="26">
        <v>3991.4000000000005</v>
      </c>
    </row>
    <row r="345" spans="1:37" x14ac:dyDescent="0.25">
      <c r="A345" t="s">
        <v>34</v>
      </c>
      <c r="B345">
        <v>2020</v>
      </c>
      <c r="C345" t="s">
        <v>44</v>
      </c>
      <c r="D345" s="25">
        <v>44105</v>
      </c>
      <c r="E345" s="26">
        <v>150.6</v>
      </c>
      <c r="F345" s="26">
        <v>193.7</v>
      </c>
      <c r="G345" s="26">
        <v>164.8</v>
      </c>
      <c r="H345" s="26">
        <v>153.69999999999999</v>
      </c>
      <c r="I345" s="26">
        <v>135.69999999999999</v>
      </c>
      <c r="J345" s="26">
        <v>155.69999999999999</v>
      </c>
      <c r="K345" s="26">
        <v>226</v>
      </c>
      <c r="L345" s="26">
        <v>152.19999999999999</v>
      </c>
      <c r="M345" s="26">
        <v>118.1</v>
      </c>
      <c r="N345" s="26">
        <v>161.30000000000001</v>
      </c>
      <c r="O345" s="26">
        <v>139.19999999999999</v>
      </c>
      <c r="P345" s="26">
        <v>164.8</v>
      </c>
      <c r="Q345" s="26">
        <v>164.4</v>
      </c>
      <c r="R345" s="26">
        <v>188.7</v>
      </c>
      <c r="S345" s="26">
        <v>150.5</v>
      </c>
      <c r="T345" s="26">
        <v>136.1</v>
      </c>
      <c r="U345" s="26">
        <v>148.30000000000001</v>
      </c>
      <c r="V345" s="26">
        <v>156.5</v>
      </c>
      <c r="W345" s="26">
        <v>137.1</v>
      </c>
      <c r="X345" s="26">
        <v>145.1</v>
      </c>
      <c r="Y345" s="26">
        <v>151</v>
      </c>
      <c r="Z345" s="26">
        <v>135.4</v>
      </c>
      <c r="AA345" s="26">
        <v>142</v>
      </c>
      <c r="AB345" s="26">
        <v>155.69999999999999</v>
      </c>
      <c r="AC345" s="26">
        <v>158.1</v>
      </c>
      <c r="AD345" s="26">
        <v>146.19999999999999</v>
      </c>
      <c r="AE345" s="26">
        <v>155.19999999999999</v>
      </c>
      <c r="AF345" s="26">
        <v>2080.1999999999998</v>
      </c>
      <c r="AG345" s="26">
        <v>434.90000000000003</v>
      </c>
      <c r="AH345" s="26">
        <v>438.70000000000005</v>
      </c>
      <c r="AI345" s="26">
        <v>309.10000000000002</v>
      </c>
      <c r="AJ345" s="26">
        <v>288.2</v>
      </c>
      <c r="AK345" s="26">
        <v>4030.9</v>
      </c>
    </row>
    <row r="346" spans="1:37" x14ac:dyDescent="0.25">
      <c r="A346" t="s">
        <v>34</v>
      </c>
      <c r="B346">
        <v>2020</v>
      </c>
      <c r="C346" t="s">
        <v>46</v>
      </c>
      <c r="D346" s="25">
        <v>44136</v>
      </c>
      <c r="E346" s="26">
        <v>149.69999999999999</v>
      </c>
      <c r="F346" s="26">
        <v>195.5</v>
      </c>
      <c r="G346" s="26">
        <v>176.9</v>
      </c>
      <c r="H346" s="26">
        <v>153.9</v>
      </c>
      <c r="I346" s="26">
        <v>138</v>
      </c>
      <c r="J346" s="26">
        <v>150.5</v>
      </c>
      <c r="K346" s="26">
        <v>245.3</v>
      </c>
      <c r="L346" s="26">
        <v>158.69999999999999</v>
      </c>
      <c r="M346" s="26">
        <v>117.2</v>
      </c>
      <c r="N346" s="26">
        <v>161.4</v>
      </c>
      <c r="O346" s="26">
        <v>141.5</v>
      </c>
      <c r="P346" s="26">
        <v>165.1</v>
      </c>
      <c r="Q346" s="26">
        <v>167</v>
      </c>
      <c r="R346" s="26">
        <v>188.8</v>
      </c>
      <c r="S346" s="26">
        <v>151.1</v>
      </c>
      <c r="T346" s="26">
        <v>136.4</v>
      </c>
      <c r="U346" s="26">
        <v>148.80000000000001</v>
      </c>
      <c r="V346" s="26">
        <v>158</v>
      </c>
      <c r="W346" s="26">
        <v>137.30000000000001</v>
      </c>
      <c r="X346" s="26">
        <v>145.1</v>
      </c>
      <c r="Y346" s="26">
        <v>152</v>
      </c>
      <c r="Z346" s="26">
        <v>135.19999999999999</v>
      </c>
      <c r="AA346" s="26">
        <v>144.4</v>
      </c>
      <c r="AB346" s="26">
        <v>156.4</v>
      </c>
      <c r="AC346" s="26">
        <v>157.9</v>
      </c>
      <c r="AD346" s="26">
        <v>146.6</v>
      </c>
      <c r="AE346" s="26">
        <v>156.69999999999999</v>
      </c>
      <c r="AF346" s="26">
        <v>2120.6999999999998</v>
      </c>
      <c r="AG346" s="26">
        <v>436.3</v>
      </c>
      <c r="AH346" s="26">
        <v>440.4</v>
      </c>
      <c r="AI346" s="26">
        <v>309.89999999999998</v>
      </c>
      <c r="AJ346" s="26">
        <v>291</v>
      </c>
      <c r="AK346" s="26">
        <v>4078.7000000000003</v>
      </c>
    </row>
    <row r="347" spans="1:37" x14ac:dyDescent="0.25">
      <c r="A347" t="s">
        <v>34</v>
      </c>
      <c r="B347">
        <v>2020</v>
      </c>
      <c r="C347" t="s">
        <v>47</v>
      </c>
      <c r="D347" s="25">
        <v>44166</v>
      </c>
      <c r="E347" s="26">
        <v>149</v>
      </c>
      <c r="F347" s="26">
        <v>195.7</v>
      </c>
      <c r="G347" s="26">
        <v>178.3</v>
      </c>
      <c r="H347" s="26">
        <v>154.19999999999999</v>
      </c>
      <c r="I347" s="26">
        <v>140.69999999999999</v>
      </c>
      <c r="J347" s="26">
        <v>149.69999999999999</v>
      </c>
      <c r="K347" s="26">
        <v>240.9</v>
      </c>
      <c r="L347" s="26">
        <v>161.5</v>
      </c>
      <c r="M347" s="26">
        <v>117.1</v>
      </c>
      <c r="N347" s="26">
        <v>161.9</v>
      </c>
      <c r="O347" s="26">
        <v>143.30000000000001</v>
      </c>
      <c r="P347" s="26">
        <v>166.1</v>
      </c>
      <c r="Q347" s="26">
        <v>167</v>
      </c>
      <c r="R347" s="26">
        <v>190.2</v>
      </c>
      <c r="S347" s="26">
        <v>151.9</v>
      </c>
      <c r="T347" s="26">
        <v>136.69999999999999</v>
      </c>
      <c r="U347" s="26">
        <v>149.6</v>
      </c>
      <c r="V347" s="26">
        <v>158.4</v>
      </c>
      <c r="W347" s="26">
        <v>137.9</v>
      </c>
      <c r="X347" s="26">
        <v>145.5</v>
      </c>
      <c r="Y347" s="26">
        <v>152.9</v>
      </c>
      <c r="Z347" s="26">
        <v>135.5</v>
      </c>
      <c r="AA347" s="26">
        <v>144.30000000000001</v>
      </c>
      <c r="AB347" s="26">
        <v>156.9</v>
      </c>
      <c r="AC347" s="26">
        <v>157.9</v>
      </c>
      <c r="AD347" s="26">
        <v>146.9</v>
      </c>
      <c r="AE347" s="26">
        <v>156.9</v>
      </c>
      <c r="AF347" s="26">
        <v>2125.4</v>
      </c>
      <c r="AG347" s="26">
        <v>438.20000000000005</v>
      </c>
      <c r="AH347" s="26">
        <v>441.8</v>
      </c>
      <c r="AI347" s="26">
        <v>310.8</v>
      </c>
      <c r="AJ347" s="26">
        <v>291.20000000000005</v>
      </c>
      <c r="AK347" s="26">
        <v>4090</v>
      </c>
    </row>
    <row r="348" spans="1:37" x14ac:dyDescent="0.25">
      <c r="A348" t="s">
        <v>34</v>
      </c>
      <c r="B348">
        <v>2021</v>
      </c>
      <c r="C348" t="s">
        <v>32</v>
      </c>
      <c r="D348" s="25">
        <v>44197</v>
      </c>
      <c r="E348" s="26">
        <v>148</v>
      </c>
      <c r="F348" s="26">
        <v>194.8</v>
      </c>
      <c r="G348" s="26">
        <v>178.4</v>
      </c>
      <c r="H348" s="26">
        <v>154.4</v>
      </c>
      <c r="I348" s="26">
        <v>144.1</v>
      </c>
      <c r="J348" s="26">
        <v>152.6</v>
      </c>
      <c r="K348" s="26">
        <v>206.8</v>
      </c>
      <c r="L348" s="26">
        <v>162.1</v>
      </c>
      <c r="M348" s="26">
        <v>116.3</v>
      </c>
      <c r="N348" s="26">
        <v>163</v>
      </c>
      <c r="O348" s="26">
        <v>145.9</v>
      </c>
      <c r="P348" s="26">
        <v>167.2</v>
      </c>
      <c r="Q348" s="26">
        <v>163.4</v>
      </c>
      <c r="R348" s="26">
        <v>191.8</v>
      </c>
      <c r="S348" s="26">
        <v>152.5</v>
      </c>
      <c r="T348" s="26">
        <v>137.30000000000001</v>
      </c>
      <c r="U348" s="26">
        <v>150.19999999999999</v>
      </c>
      <c r="V348" s="26">
        <v>157.69999999999999</v>
      </c>
      <c r="W348" s="26">
        <v>142.9</v>
      </c>
      <c r="X348" s="26">
        <v>145.69999999999999</v>
      </c>
      <c r="Y348" s="26">
        <v>154.1</v>
      </c>
      <c r="Z348" s="26">
        <v>136.9</v>
      </c>
      <c r="AA348" s="26">
        <v>145.4</v>
      </c>
      <c r="AB348" s="26">
        <v>156.1</v>
      </c>
      <c r="AC348" s="26">
        <v>157.69999999999999</v>
      </c>
      <c r="AD348" s="26">
        <v>147.6</v>
      </c>
      <c r="AE348" s="26">
        <v>156</v>
      </c>
      <c r="AF348" s="26">
        <v>2097</v>
      </c>
      <c r="AG348" s="26">
        <v>440</v>
      </c>
      <c r="AH348" s="26">
        <v>446.3</v>
      </c>
      <c r="AI348" s="26">
        <v>311.79999999999995</v>
      </c>
      <c r="AJ348" s="26">
        <v>293</v>
      </c>
      <c r="AK348" s="26">
        <v>4072.9000000000005</v>
      </c>
    </row>
    <row r="349" spans="1:37" x14ac:dyDescent="0.25">
      <c r="A349" t="s">
        <v>34</v>
      </c>
      <c r="B349">
        <v>2021</v>
      </c>
      <c r="C349" t="s">
        <v>36</v>
      </c>
      <c r="D349" s="25">
        <v>44228</v>
      </c>
      <c r="E349" s="26">
        <v>147.6</v>
      </c>
      <c r="F349" s="26">
        <v>191.2</v>
      </c>
      <c r="G349" s="26">
        <v>169.9</v>
      </c>
      <c r="H349" s="26">
        <v>155.1</v>
      </c>
      <c r="I349" s="26">
        <v>151.4</v>
      </c>
      <c r="J349" s="26">
        <v>154</v>
      </c>
      <c r="K349" s="26">
        <v>180.2</v>
      </c>
      <c r="L349" s="26">
        <v>159.80000000000001</v>
      </c>
      <c r="M349" s="26">
        <v>114.9</v>
      </c>
      <c r="N349" s="26">
        <v>162.5</v>
      </c>
      <c r="O349" s="26">
        <v>149.19999999999999</v>
      </c>
      <c r="P349" s="26">
        <v>169.4</v>
      </c>
      <c r="Q349" s="26">
        <v>160.80000000000001</v>
      </c>
      <c r="R349" s="26">
        <v>193.3</v>
      </c>
      <c r="S349" s="26">
        <v>154.19999999999999</v>
      </c>
      <c r="T349" s="26">
        <v>138.19999999999999</v>
      </c>
      <c r="U349" s="26">
        <v>151.80000000000001</v>
      </c>
      <c r="V349" s="26">
        <v>159.80000000000001</v>
      </c>
      <c r="W349" s="26">
        <v>149.1</v>
      </c>
      <c r="X349" s="26">
        <v>146.5</v>
      </c>
      <c r="Y349" s="26">
        <v>156.30000000000001</v>
      </c>
      <c r="Z349" s="26">
        <v>140.5</v>
      </c>
      <c r="AA349" s="26">
        <v>147.30000000000001</v>
      </c>
      <c r="AB349" s="26">
        <v>156.6</v>
      </c>
      <c r="AC349" s="26">
        <v>156.69999999999999</v>
      </c>
      <c r="AD349" s="26">
        <v>149.30000000000001</v>
      </c>
      <c r="AE349" s="26">
        <v>156.5</v>
      </c>
      <c r="AF349" s="26">
        <v>2066</v>
      </c>
      <c r="AG349" s="26">
        <v>444.2</v>
      </c>
      <c r="AH349" s="26">
        <v>455.4</v>
      </c>
      <c r="AI349" s="26">
        <v>313</v>
      </c>
      <c r="AJ349" s="26">
        <v>296.60000000000002</v>
      </c>
      <c r="AK349" s="26">
        <v>4065.6</v>
      </c>
    </row>
    <row r="350" spans="1:37" x14ac:dyDescent="0.25">
      <c r="A350" t="s">
        <v>34</v>
      </c>
      <c r="B350">
        <v>2021</v>
      </c>
      <c r="C350" t="s">
        <v>37</v>
      </c>
      <c r="D350" s="25">
        <v>44256</v>
      </c>
      <c r="E350" s="26">
        <v>147.5</v>
      </c>
      <c r="F350" s="26">
        <v>197.5</v>
      </c>
      <c r="G350" s="26">
        <v>164.7</v>
      </c>
      <c r="H350" s="26">
        <v>155.6</v>
      </c>
      <c r="I350" s="26">
        <v>156.4</v>
      </c>
      <c r="J350" s="26">
        <v>157.30000000000001</v>
      </c>
      <c r="K350" s="26">
        <v>166.1</v>
      </c>
      <c r="L350" s="26">
        <v>161.1</v>
      </c>
      <c r="M350" s="26">
        <v>114.3</v>
      </c>
      <c r="N350" s="26">
        <v>162.6</v>
      </c>
      <c r="O350" s="26">
        <v>150.69999999999999</v>
      </c>
      <c r="P350" s="26">
        <v>170.3</v>
      </c>
      <c r="Q350" s="26">
        <v>160.4</v>
      </c>
      <c r="R350" s="26">
        <v>193.5</v>
      </c>
      <c r="S350" s="26">
        <v>155.1</v>
      </c>
      <c r="T350" s="26">
        <v>138.69999999999999</v>
      </c>
      <c r="U350" s="26">
        <v>152.6</v>
      </c>
      <c r="V350" s="26">
        <v>159.9</v>
      </c>
      <c r="W350" s="26">
        <v>154.80000000000001</v>
      </c>
      <c r="X350" s="26">
        <v>147.19999999999999</v>
      </c>
      <c r="Y350" s="26">
        <v>156.9</v>
      </c>
      <c r="Z350" s="26">
        <v>141.69999999999999</v>
      </c>
      <c r="AA350" s="26">
        <v>148.6</v>
      </c>
      <c r="AB350" s="26">
        <v>157.6</v>
      </c>
      <c r="AC350" s="26">
        <v>154.9</v>
      </c>
      <c r="AD350" s="26">
        <v>150</v>
      </c>
      <c r="AE350" s="26">
        <v>156.9</v>
      </c>
      <c r="AF350" s="26">
        <v>2064.4999999999995</v>
      </c>
      <c r="AG350" s="26">
        <v>446.4</v>
      </c>
      <c r="AH350" s="26">
        <v>461.90000000000003</v>
      </c>
      <c r="AI350" s="26">
        <v>311.8</v>
      </c>
      <c r="AJ350" s="26">
        <v>298.60000000000002</v>
      </c>
      <c r="AK350" s="26">
        <v>4075.9999999999995</v>
      </c>
    </row>
    <row r="351" spans="1:37" x14ac:dyDescent="0.25">
      <c r="A351" t="s">
        <v>34</v>
      </c>
      <c r="B351">
        <v>2021</v>
      </c>
      <c r="C351" t="s">
        <v>38</v>
      </c>
      <c r="D351" s="25">
        <v>44287</v>
      </c>
      <c r="E351" s="26">
        <v>147.6</v>
      </c>
      <c r="F351" s="26">
        <v>202.5</v>
      </c>
      <c r="G351" s="26">
        <v>166.4</v>
      </c>
      <c r="H351" s="26">
        <v>156</v>
      </c>
      <c r="I351" s="26">
        <v>161.4</v>
      </c>
      <c r="J351" s="26">
        <v>168.8</v>
      </c>
      <c r="K351" s="26">
        <v>161.6</v>
      </c>
      <c r="L351" s="26">
        <v>162.80000000000001</v>
      </c>
      <c r="M351" s="26">
        <v>114.8</v>
      </c>
      <c r="N351" s="26">
        <v>162.80000000000001</v>
      </c>
      <c r="O351" s="26">
        <v>151.5</v>
      </c>
      <c r="P351" s="26">
        <v>171.4</v>
      </c>
      <c r="Q351" s="26">
        <v>162</v>
      </c>
      <c r="R351" s="26">
        <v>194.4</v>
      </c>
      <c r="S351" s="26">
        <v>155.9</v>
      </c>
      <c r="T351" s="26">
        <v>139.30000000000001</v>
      </c>
      <c r="U351" s="26">
        <v>153.4</v>
      </c>
      <c r="V351" s="26">
        <v>161.4</v>
      </c>
      <c r="W351" s="26">
        <v>154.9</v>
      </c>
      <c r="X351" s="26">
        <v>147.6</v>
      </c>
      <c r="Y351" s="26">
        <v>157.5</v>
      </c>
      <c r="Z351" s="26">
        <v>142.1</v>
      </c>
      <c r="AA351" s="26">
        <v>149.1</v>
      </c>
      <c r="AB351" s="26">
        <v>157.6</v>
      </c>
      <c r="AC351" s="26">
        <v>156.6</v>
      </c>
      <c r="AD351" s="26">
        <v>150.5</v>
      </c>
      <c r="AE351" s="26">
        <v>158</v>
      </c>
      <c r="AF351" s="26">
        <v>2089.6</v>
      </c>
      <c r="AG351" s="26">
        <v>448.6</v>
      </c>
      <c r="AH351" s="26">
        <v>463.9</v>
      </c>
      <c r="AI351" s="26">
        <v>314.10000000000002</v>
      </c>
      <c r="AJ351" s="26">
        <v>299.60000000000002</v>
      </c>
      <c r="AK351" s="26">
        <v>4109.8999999999996</v>
      </c>
    </row>
    <row r="352" spans="1:37" x14ac:dyDescent="0.25">
      <c r="A352" t="s">
        <v>34</v>
      </c>
      <c r="B352">
        <v>2021</v>
      </c>
      <c r="C352" t="s">
        <v>39</v>
      </c>
      <c r="D352" s="25">
        <v>44317</v>
      </c>
      <c r="E352" s="26">
        <v>148.80000000000001</v>
      </c>
      <c r="F352" s="26">
        <v>204.3</v>
      </c>
      <c r="G352" s="26">
        <v>173</v>
      </c>
      <c r="H352" s="26">
        <v>156.5</v>
      </c>
      <c r="I352" s="26">
        <v>168.8</v>
      </c>
      <c r="J352" s="26">
        <v>172.5</v>
      </c>
      <c r="K352" s="26">
        <v>166.5</v>
      </c>
      <c r="L352" s="26">
        <v>165.9</v>
      </c>
      <c r="M352" s="26">
        <v>115.9</v>
      </c>
      <c r="N352" s="26">
        <v>165.2</v>
      </c>
      <c r="O352" s="26">
        <v>152</v>
      </c>
      <c r="P352" s="26">
        <v>171.1</v>
      </c>
      <c r="Q352" s="26">
        <v>164.2</v>
      </c>
      <c r="R352" s="26">
        <v>198.2</v>
      </c>
      <c r="S352" s="26">
        <v>156.5</v>
      </c>
      <c r="T352" s="26">
        <v>140.19999999999999</v>
      </c>
      <c r="U352" s="26">
        <v>154.1</v>
      </c>
      <c r="V352" s="26">
        <v>161.6</v>
      </c>
      <c r="W352" s="26">
        <v>155.5</v>
      </c>
      <c r="X352" s="26">
        <v>150.1</v>
      </c>
      <c r="Y352" s="26">
        <v>160.4</v>
      </c>
      <c r="Z352" s="26">
        <v>145</v>
      </c>
      <c r="AA352" s="26">
        <v>152.6</v>
      </c>
      <c r="AB352" s="26">
        <v>156.6</v>
      </c>
      <c r="AC352" s="26">
        <v>157.5</v>
      </c>
      <c r="AD352" s="26">
        <v>152.30000000000001</v>
      </c>
      <c r="AE352" s="26">
        <v>159.5</v>
      </c>
      <c r="AF352" s="26">
        <v>2124.7000000000003</v>
      </c>
      <c r="AG352" s="26">
        <v>450.79999999999995</v>
      </c>
      <c r="AH352" s="26">
        <v>467.20000000000005</v>
      </c>
      <c r="AI352" s="26">
        <v>317.89999999999998</v>
      </c>
      <c r="AJ352" s="26">
        <v>304.89999999999998</v>
      </c>
      <c r="AK352" s="26">
        <v>4165.3</v>
      </c>
    </row>
    <row r="353" spans="1:37" x14ac:dyDescent="0.25">
      <c r="A353" t="s">
        <v>34</v>
      </c>
      <c r="B353">
        <v>2021</v>
      </c>
      <c r="C353" t="s">
        <v>40</v>
      </c>
      <c r="D353" s="25">
        <v>44348</v>
      </c>
      <c r="E353" s="26">
        <v>149.19999999999999</v>
      </c>
      <c r="F353" s="26">
        <v>205.5</v>
      </c>
      <c r="G353" s="26">
        <v>182.8</v>
      </c>
      <c r="H353" s="26">
        <v>156.5</v>
      </c>
      <c r="I353" s="26">
        <v>172.2</v>
      </c>
      <c r="J353" s="26">
        <v>171.5</v>
      </c>
      <c r="K353" s="26">
        <v>176.2</v>
      </c>
      <c r="L353" s="26">
        <v>166.9</v>
      </c>
      <c r="M353" s="26">
        <v>116.1</v>
      </c>
      <c r="N353" s="26">
        <v>165.5</v>
      </c>
      <c r="O353" s="26">
        <v>152.30000000000001</v>
      </c>
      <c r="P353" s="26">
        <v>173.3</v>
      </c>
      <c r="Q353" s="26">
        <v>166.2</v>
      </c>
      <c r="R353" s="26">
        <v>195.6</v>
      </c>
      <c r="S353" s="26">
        <v>157.30000000000001</v>
      </c>
      <c r="T353" s="26">
        <v>140.5</v>
      </c>
      <c r="U353" s="26">
        <v>154.80000000000001</v>
      </c>
      <c r="V353" s="26">
        <v>160.5</v>
      </c>
      <c r="W353" s="26">
        <v>156.1</v>
      </c>
      <c r="X353" s="26">
        <v>149.80000000000001</v>
      </c>
      <c r="Y353" s="26">
        <v>160.80000000000001</v>
      </c>
      <c r="Z353" s="26">
        <v>147.5</v>
      </c>
      <c r="AA353" s="26">
        <v>150.69999999999999</v>
      </c>
      <c r="AB353" s="26">
        <v>158.1</v>
      </c>
      <c r="AC353" s="26">
        <v>158</v>
      </c>
      <c r="AD353" s="26">
        <v>153.4</v>
      </c>
      <c r="AE353" s="26">
        <v>160.4</v>
      </c>
      <c r="AF353" s="26">
        <v>2154.1999999999998</v>
      </c>
      <c r="AG353" s="26">
        <v>452.6</v>
      </c>
      <c r="AH353" s="26">
        <v>466.40000000000003</v>
      </c>
      <c r="AI353" s="26">
        <v>318.8</v>
      </c>
      <c r="AJ353" s="26">
        <v>304.10000000000002</v>
      </c>
      <c r="AK353" s="26">
        <v>4197.3</v>
      </c>
    </row>
    <row r="354" spans="1:37" x14ac:dyDescent="0.25">
      <c r="A354" t="s">
        <v>34</v>
      </c>
      <c r="B354">
        <v>2021</v>
      </c>
      <c r="C354" t="s">
        <v>41</v>
      </c>
      <c r="D354" s="25">
        <v>44378</v>
      </c>
      <c r="E354" s="26">
        <v>149.1</v>
      </c>
      <c r="F354" s="26">
        <v>210.9</v>
      </c>
      <c r="G354" s="26">
        <v>185</v>
      </c>
      <c r="H354" s="26">
        <v>158.19999999999999</v>
      </c>
      <c r="I354" s="26">
        <v>170.6</v>
      </c>
      <c r="J354" s="26">
        <v>170.9</v>
      </c>
      <c r="K354" s="26">
        <v>186.4</v>
      </c>
      <c r="L354" s="26">
        <v>164.7</v>
      </c>
      <c r="M354" s="26">
        <v>115.7</v>
      </c>
      <c r="N354" s="26">
        <v>165.5</v>
      </c>
      <c r="O354" s="26">
        <v>153.4</v>
      </c>
      <c r="P354" s="26">
        <v>173.5</v>
      </c>
      <c r="Q354" s="26">
        <v>167.9</v>
      </c>
      <c r="R354" s="26">
        <v>195.5</v>
      </c>
      <c r="S354" s="26">
        <v>157.9</v>
      </c>
      <c r="T354" s="26">
        <v>141.9</v>
      </c>
      <c r="U354" s="26">
        <v>155.5</v>
      </c>
      <c r="V354" s="26">
        <v>161.5</v>
      </c>
      <c r="W354" s="26">
        <v>157.69999999999999</v>
      </c>
      <c r="X354" s="26">
        <v>150.69999999999999</v>
      </c>
      <c r="Y354" s="26">
        <v>161.5</v>
      </c>
      <c r="Z354" s="26">
        <v>149.5</v>
      </c>
      <c r="AA354" s="26">
        <v>151.19999999999999</v>
      </c>
      <c r="AB354" s="26">
        <v>160.30000000000001</v>
      </c>
      <c r="AC354" s="26">
        <v>159.6</v>
      </c>
      <c r="AD354" s="26">
        <v>155</v>
      </c>
      <c r="AE354" s="26">
        <v>161.80000000000001</v>
      </c>
      <c r="AF354" s="26">
        <v>2171.8000000000002</v>
      </c>
      <c r="AG354" s="26">
        <v>455.3</v>
      </c>
      <c r="AH354" s="26">
        <v>469.9</v>
      </c>
      <c r="AI354" s="26">
        <v>321.10000000000002</v>
      </c>
      <c r="AJ354" s="26">
        <v>306.2</v>
      </c>
      <c r="AK354" s="26">
        <v>4229.6000000000004</v>
      </c>
    </row>
    <row r="355" spans="1:37" x14ac:dyDescent="0.25">
      <c r="A355" t="s">
        <v>34</v>
      </c>
      <c r="B355">
        <v>2021</v>
      </c>
      <c r="C355" t="s">
        <v>42</v>
      </c>
      <c r="D355" s="25">
        <v>44409</v>
      </c>
      <c r="E355" s="26">
        <v>149.30000000000001</v>
      </c>
      <c r="F355" s="26">
        <v>207.4</v>
      </c>
      <c r="G355" s="26">
        <v>174.1</v>
      </c>
      <c r="H355" s="26">
        <v>159.19999999999999</v>
      </c>
      <c r="I355" s="26">
        <v>175</v>
      </c>
      <c r="J355" s="26">
        <v>161.30000000000001</v>
      </c>
      <c r="K355" s="26">
        <v>183.3</v>
      </c>
      <c r="L355" s="26">
        <v>164.5</v>
      </c>
      <c r="M355" s="26">
        <v>120.4</v>
      </c>
      <c r="N355" s="26">
        <v>166.2</v>
      </c>
      <c r="O355" s="26">
        <v>154.80000000000001</v>
      </c>
      <c r="P355" s="26">
        <v>175.1</v>
      </c>
      <c r="Q355" s="26">
        <v>167.3</v>
      </c>
      <c r="R355" s="26">
        <v>196.5</v>
      </c>
      <c r="S355" s="26">
        <v>159.80000000000001</v>
      </c>
      <c r="T355" s="26">
        <v>143.6</v>
      </c>
      <c r="U355" s="26">
        <v>157.30000000000001</v>
      </c>
      <c r="V355" s="26">
        <v>162.1</v>
      </c>
      <c r="W355" s="26">
        <v>160.69999999999999</v>
      </c>
      <c r="X355" s="26">
        <v>153.19999999999999</v>
      </c>
      <c r="Y355" s="26">
        <v>162.80000000000001</v>
      </c>
      <c r="Z355" s="26">
        <v>150.4</v>
      </c>
      <c r="AA355" s="26">
        <v>153.69999999999999</v>
      </c>
      <c r="AB355" s="26">
        <v>160.4</v>
      </c>
      <c r="AC355" s="26">
        <v>159.6</v>
      </c>
      <c r="AD355" s="26">
        <v>156</v>
      </c>
      <c r="AE355" s="26">
        <v>162.30000000000001</v>
      </c>
      <c r="AF355" s="26">
        <v>2157.9</v>
      </c>
      <c r="AG355" s="26">
        <v>460.7</v>
      </c>
      <c r="AH355" s="26">
        <v>475.99999999999994</v>
      </c>
      <c r="AI355" s="26">
        <v>322.39999999999998</v>
      </c>
      <c r="AJ355" s="26">
        <v>309.7</v>
      </c>
      <c r="AK355" s="26">
        <v>4234</v>
      </c>
    </row>
    <row r="356" spans="1:37" x14ac:dyDescent="0.25">
      <c r="A356" t="s">
        <v>34</v>
      </c>
      <c r="B356">
        <v>2021</v>
      </c>
      <c r="C356" t="s">
        <v>43</v>
      </c>
      <c r="D356" s="25">
        <v>44440</v>
      </c>
      <c r="E356" s="26">
        <v>149.30000000000001</v>
      </c>
      <c r="F356" s="26">
        <v>207.4</v>
      </c>
      <c r="G356" s="26">
        <v>174.1</v>
      </c>
      <c r="H356" s="26">
        <v>159.1</v>
      </c>
      <c r="I356" s="26">
        <v>175</v>
      </c>
      <c r="J356" s="26">
        <v>161.19999999999999</v>
      </c>
      <c r="K356" s="26">
        <v>183.5</v>
      </c>
      <c r="L356" s="26">
        <v>164.5</v>
      </c>
      <c r="M356" s="26">
        <v>120.4</v>
      </c>
      <c r="N356" s="26">
        <v>166.2</v>
      </c>
      <c r="O356" s="26">
        <v>154.80000000000001</v>
      </c>
      <c r="P356" s="26">
        <v>175.1</v>
      </c>
      <c r="Q356" s="26">
        <v>167.3</v>
      </c>
      <c r="R356" s="26">
        <v>196.5</v>
      </c>
      <c r="S356" s="26">
        <v>159.80000000000001</v>
      </c>
      <c r="T356" s="26">
        <v>143.6</v>
      </c>
      <c r="U356" s="26">
        <v>157.4</v>
      </c>
      <c r="V356" s="26">
        <v>162.1</v>
      </c>
      <c r="W356" s="26">
        <v>160.80000000000001</v>
      </c>
      <c r="X356" s="26">
        <v>153.30000000000001</v>
      </c>
      <c r="Y356" s="26">
        <v>162.80000000000001</v>
      </c>
      <c r="Z356" s="26">
        <v>150.5</v>
      </c>
      <c r="AA356" s="26">
        <v>153.9</v>
      </c>
      <c r="AB356" s="26">
        <v>160.30000000000001</v>
      </c>
      <c r="AC356" s="26">
        <v>159.6</v>
      </c>
      <c r="AD356" s="26">
        <v>156</v>
      </c>
      <c r="AE356" s="26">
        <v>162.30000000000001</v>
      </c>
      <c r="AF356" s="26">
        <v>2157.9</v>
      </c>
      <c r="AG356" s="26">
        <v>460.79999999999995</v>
      </c>
      <c r="AH356" s="26">
        <v>476.2</v>
      </c>
      <c r="AI356" s="26">
        <v>322.39999999999998</v>
      </c>
      <c r="AJ356" s="26">
        <v>309.89999999999998</v>
      </c>
      <c r="AK356" s="26">
        <v>4234.5</v>
      </c>
    </row>
    <row r="357" spans="1:37" x14ac:dyDescent="0.25">
      <c r="A357" t="s">
        <v>34</v>
      </c>
      <c r="B357">
        <v>2021</v>
      </c>
      <c r="C357" t="s">
        <v>44</v>
      </c>
      <c r="D357" s="25">
        <v>44470</v>
      </c>
      <c r="E357" s="26">
        <v>150.1</v>
      </c>
      <c r="F357" s="26">
        <v>208.4</v>
      </c>
      <c r="G357" s="26">
        <v>173</v>
      </c>
      <c r="H357" s="26">
        <v>159.19999999999999</v>
      </c>
      <c r="I357" s="26">
        <v>176.6</v>
      </c>
      <c r="J357" s="26">
        <v>159.30000000000001</v>
      </c>
      <c r="K357" s="26">
        <v>214.4</v>
      </c>
      <c r="L357" s="26">
        <v>165.3</v>
      </c>
      <c r="M357" s="26">
        <v>122.5</v>
      </c>
      <c r="N357" s="26">
        <v>166.8</v>
      </c>
      <c r="O357" s="26">
        <v>155.4</v>
      </c>
      <c r="P357" s="26">
        <v>175.9</v>
      </c>
      <c r="Q357" s="26">
        <v>171.5</v>
      </c>
      <c r="R357" s="26">
        <v>197</v>
      </c>
      <c r="S357" s="26">
        <v>160.80000000000001</v>
      </c>
      <c r="T357" s="26">
        <v>144.4</v>
      </c>
      <c r="U357" s="26">
        <v>158.30000000000001</v>
      </c>
      <c r="V357" s="26">
        <v>163.6</v>
      </c>
      <c r="W357" s="26">
        <v>162.19999999999999</v>
      </c>
      <c r="X357" s="26">
        <v>154.30000000000001</v>
      </c>
      <c r="Y357" s="26">
        <v>163.5</v>
      </c>
      <c r="Z357" s="26">
        <v>152.19999999999999</v>
      </c>
      <c r="AA357" s="26">
        <v>155.1</v>
      </c>
      <c r="AB357" s="26">
        <v>160.30000000000001</v>
      </c>
      <c r="AC357" s="26">
        <v>160.30000000000001</v>
      </c>
      <c r="AD357" s="26">
        <v>157</v>
      </c>
      <c r="AE357" s="26">
        <v>164.6</v>
      </c>
      <c r="AF357" s="26">
        <v>2198.4000000000005</v>
      </c>
      <c r="AG357" s="26">
        <v>463.50000000000006</v>
      </c>
      <c r="AH357" s="26">
        <v>480.09999999999997</v>
      </c>
      <c r="AI357" s="26">
        <v>323.8</v>
      </c>
      <c r="AJ357" s="26">
        <v>312.10000000000002</v>
      </c>
      <c r="AK357" s="26">
        <v>4287.4000000000005</v>
      </c>
    </row>
    <row r="358" spans="1:37" x14ac:dyDescent="0.25">
      <c r="A358" t="s">
        <v>34</v>
      </c>
      <c r="B358">
        <v>2021</v>
      </c>
      <c r="C358" t="s">
        <v>46</v>
      </c>
      <c r="D358" s="25">
        <v>44501</v>
      </c>
      <c r="E358" s="26">
        <v>151</v>
      </c>
      <c r="F358" s="26">
        <v>204.9</v>
      </c>
      <c r="G358" s="26">
        <v>175.4</v>
      </c>
      <c r="H358" s="26">
        <v>159.6</v>
      </c>
      <c r="I358" s="26">
        <v>175.8</v>
      </c>
      <c r="J358" s="26">
        <v>160.30000000000001</v>
      </c>
      <c r="K358" s="26">
        <v>229.1</v>
      </c>
      <c r="L358" s="26">
        <v>165.1</v>
      </c>
      <c r="M358" s="26">
        <v>123.1</v>
      </c>
      <c r="N358" s="26">
        <v>167.2</v>
      </c>
      <c r="O358" s="26">
        <v>156.1</v>
      </c>
      <c r="P358" s="26">
        <v>176.8</v>
      </c>
      <c r="Q358" s="26">
        <v>173.5</v>
      </c>
      <c r="R358" s="26">
        <v>197</v>
      </c>
      <c r="S358" s="26">
        <v>162.30000000000001</v>
      </c>
      <c r="T358" s="26">
        <v>145.30000000000001</v>
      </c>
      <c r="U358" s="26">
        <v>159.69999999999999</v>
      </c>
      <c r="V358" s="26">
        <v>164.2</v>
      </c>
      <c r="W358" s="26">
        <v>161.6</v>
      </c>
      <c r="X358" s="26">
        <v>155.19999999999999</v>
      </c>
      <c r="Y358" s="26">
        <v>164.2</v>
      </c>
      <c r="Z358" s="26">
        <v>151.19999999999999</v>
      </c>
      <c r="AA358" s="26">
        <v>156.69999999999999</v>
      </c>
      <c r="AB358" s="26">
        <v>160.80000000000001</v>
      </c>
      <c r="AC358" s="26">
        <v>161.80000000000001</v>
      </c>
      <c r="AD358" s="26">
        <v>157.30000000000001</v>
      </c>
      <c r="AE358" s="26">
        <v>165.6</v>
      </c>
      <c r="AF358" s="26">
        <v>2217.8999999999996</v>
      </c>
      <c r="AG358" s="26">
        <v>467.3</v>
      </c>
      <c r="AH358" s="26">
        <v>480.99999999999994</v>
      </c>
      <c r="AI358" s="26">
        <v>326</v>
      </c>
      <c r="AJ358" s="26">
        <v>314</v>
      </c>
      <c r="AK358" s="26">
        <v>4315.2</v>
      </c>
    </row>
    <row r="359" spans="1:37" x14ac:dyDescent="0.25">
      <c r="A359" t="s">
        <v>34</v>
      </c>
      <c r="B359">
        <v>2021</v>
      </c>
      <c r="C359" t="s">
        <v>47</v>
      </c>
      <c r="D359" s="25">
        <v>44531</v>
      </c>
      <c r="E359" s="26">
        <v>151.6</v>
      </c>
      <c r="F359" s="26">
        <v>202.2</v>
      </c>
      <c r="G359" s="26">
        <v>180</v>
      </c>
      <c r="H359" s="26">
        <v>160</v>
      </c>
      <c r="I359" s="26">
        <v>173.5</v>
      </c>
      <c r="J359" s="26">
        <v>158.30000000000001</v>
      </c>
      <c r="K359" s="26">
        <v>219.5</v>
      </c>
      <c r="L359" s="26">
        <v>164.2</v>
      </c>
      <c r="M359" s="26">
        <v>121.9</v>
      </c>
      <c r="N359" s="26">
        <v>168.2</v>
      </c>
      <c r="O359" s="26">
        <v>156.5</v>
      </c>
      <c r="P359" s="26">
        <v>178.2</v>
      </c>
      <c r="Q359" s="26">
        <v>172.2</v>
      </c>
      <c r="R359" s="26">
        <v>196.8</v>
      </c>
      <c r="S359" s="26">
        <v>163.30000000000001</v>
      </c>
      <c r="T359" s="26">
        <v>146.69999999999999</v>
      </c>
      <c r="U359" s="26">
        <v>160.69999999999999</v>
      </c>
      <c r="V359" s="26">
        <v>163.4</v>
      </c>
      <c r="W359" s="26">
        <v>161.69999999999999</v>
      </c>
      <c r="X359" s="26">
        <v>156</v>
      </c>
      <c r="Y359" s="26">
        <v>165.1</v>
      </c>
      <c r="Z359" s="26">
        <v>151.80000000000001</v>
      </c>
      <c r="AA359" s="26">
        <v>157.6</v>
      </c>
      <c r="AB359" s="26">
        <v>160.6</v>
      </c>
      <c r="AC359" s="26">
        <v>162.4</v>
      </c>
      <c r="AD359" s="26">
        <v>157.80000000000001</v>
      </c>
      <c r="AE359" s="26">
        <v>165.2</v>
      </c>
      <c r="AF359" s="26">
        <v>2206.3000000000002</v>
      </c>
      <c r="AG359" s="26">
        <v>470.7</v>
      </c>
      <c r="AH359" s="26">
        <v>481.1</v>
      </c>
      <c r="AI359" s="26">
        <v>327.5</v>
      </c>
      <c r="AJ359" s="26">
        <v>315.39999999999998</v>
      </c>
      <c r="AK359" s="26">
        <v>4310.2</v>
      </c>
    </row>
    <row r="360" spans="1:37" x14ac:dyDescent="0.25">
      <c r="A360" t="s">
        <v>34</v>
      </c>
      <c r="B360">
        <v>2022</v>
      </c>
      <c r="C360" t="s">
        <v>32</v>
      </c>
      <c r="D360" s="25">
        <v>44562</v>
      </c>
      <c r="E360" s="26">
        <v>152.19999999999999</v>
      </c>
      <c r="F360" s="26">
        <v>202.1</v>
      </c>
      <c r="G360" s="26">
        <v>180.1</v>
      </c>
      <c r="H360" s="26">
        <v>160.4</v>
      </c>
      <c r="I360" s="26">
        <v>171</v>
      </c>
      <c r="J360" s="26">
        <v>156.5</v>
      </c>
      <c r="K360" s="26">
        <v>203.6</v>
      </c>
      <c r="L360" s="26">
        <v>163.80000000000001</v>
      </c>
      <c r="M360" s="26">
        <v>121.3</v>
      </c>
      <c r="N360" s="26">
        <v>169.8</v>
      </c>
      <c r="O360" s="26">
        <v>156.6</v>
      </c>
      <c r="P360" s="26">
        <v>179</v>
      </c>
      <c r="Q360" s="26">
        <v>170.3</v>
      </c>
      <c r="R360" s="26">
        <v>196.4</v>
      </c>
      <c r="S360" s="26">
        <v>164.7</v>
      </c>
      <c r="T360" s="26">
        <v>148.5</v>
      </c>
      <c r="U360" s="26">
        <v>162.19999999999999</v>
      </c>
      <c r="V360" s="26">
        <v>164.5</v>
      </c>
      <c r="W360" s="26">
        <v>161.6</v>
      </c>
      <c r="X360" s="26">
        <v>156.80000000000001</v>
      </c>
      <c r="Y360" s="26">
        <v>166.1</v>
      </c>
      <c r="Z360" s="26">
        <v>152.69999999999999</v>
      </c>
      <c r="AA360" s="26">
        <v>158.4</v>
      </c>
      <c r="AB360" s="26">
        <v>161</v>
      </c>
      <c r="AC360" s="26">
        <v>162.80000000000001</v>
      </c>
      <c r="AD360" s="26">
        <v>158.6</v>
      </c>
      <c r="AE360" s="26">
        <v>165</v>
      </c>
      <c r="AF360" s="26">
        <v>2186.6999999999998</v>
      </c>
      <c r="AG360" s="26">
        <v>475.4</v>
      </c>
      <c r="AH360" s="26">
        <v>482.90000000000003</v>
      </c>
      <c r="AI360" s="26">
        <v>328.9</v>
      </c>
      <c r="AJ360" s="26">
        <v>317</v>
      </c>
      <c r="AK360" s="26">
        <v>4301</v>
      </c>
    </row>
    <row r="361" spans="1:37" x14ac:dyDescent="0.25">
      <c r="A361" t="s">
        <v>34</v>
      </c>
      <c r="B361">
        <v>2022</v>
      </c>
      <c r="C361" t="s">
        <v>36</v>
      </c>
      <c r="D361" s="25">
        <v>44593</v>
      </c>
      <c r="E361" s="26">
        <v>152.5</v>
      </c>
      <c r="F361" s="26">
        <v>205.2</v>
      </c>
      <c r="G361" s="26">
        <v>176.4</v>
      </c>
      <c r="H361" s="26">
        <v>160.6</v>
      </c>
      <c r="I361" s="26">
        <v>171.5</v>
      </c>
      <c r="J361" s="26">
        <v>156.4</v>
      </c>
      <c r="K361" s="26">
        <v>198</v>
      </c>
      <c r="L361" s="26">
        <v>163.19999999999999</v>
      </c>
      <c r="M361" s="26">
        <v>120.6</v>
      </c>
      <c r="N361" s="26">
        <v>172.2</v>
      </c>
      <c r="O361" s="26">
        <v>156.69999999999999</v>
      </c>
      <c r="P361" s="26">
        <v>180</v>
      </c>
      <c r="Q361" s="26">
        <v>170.2</v>
      </c>
      <c r="R361" s="26">
        <v>196.5</v>
      </c>
      <c r="S361" s="26">
        <v>165.7</v>
      </c>
      <c r="T361" s="26">
        <v>150.4</v>
      </c>
      <c r="U361" s="26">
        <v>163.4</v>
      </c>
      <c r="V361" s="26">
        <v>165.5</v>
      </c>
      <c r="W361" s="26">
        <v>163</v>
      </c>
      <c r="X361" s="26">
        <v>157.4</v>
      </c>
      <c r="Y361" s="26">
        <v>167.2</v>
      </c>
      <c r="Z361" s="26">
        <v>153.1</v>
      </c>
      <c r="AA361" s="26">
        <v>159.5</v>
      </c>
      <c r="AB361" s="26">
        <v>162</v>
      </c>
      <c r="AC361" s="26">
        <v>164.2</v>
      </c>
      <c r="AD361" s="26">
        <v>159.4</v>
      </c>
      <c r="AE361" s="26">
        <v>165.5</v>
      </c>
      <c r="AF361" s="26">
        <v>2183.5</v>
      </c>
      <c r="AG361" s="26">
        <v>479.5</v>
      </c>
      <c r="AH361" s="26">
        <v>485.9</v>
      </c>
      <c r="AI361" s="26">
        <v>331.4</v>
      </c>
      <c r="AJ361" s="26">
        <v>318.89999999999998</v>
      </c>
      <c r="AK361" s="26">
        <v>4310.8</v>
      </c>
    </row>
    <row r="362" spans="1:37" x14ac:dyDescent="0.25">
      <c r="A362" t="s">
        <v>34</v>
      </c>
      <c r="B362">
        <v>2022</v>
      </c>
      <c r="C362" t="s">
        <v>37</v>
      </c>
      <c r="D362" s="25">
        <v>44621</v>
      </c>
      <c r="E362" s="26">
        <v>153.69999999999999</v>
      </c>
      <c r="F362" s="26">
        <v>215.8</v>
      </c>
      <c r="G362" s="26">
        <v>167.7</v>
      </c>
      <c r="H362" s="26">
        <v>162.6</v>
      </c>
      <c r="I362" s="26">
        <v>180</v>
      </c>
      <c r="J362" s="26">
        <v>159.6</v>
      </c>
      <c r="K362" s="26">
        <v>188.4</v>
      </c>
      <c r="L362" s="26">
        <v>163.4</v>
      </c>
      <c r="M362" s="26">
        <v>120.3</v>
      </c>
      <c r="N362" s="26">
        <v>174.7</v>
      </c>
      <c r="O362" s="26">
        <v>157.1</v>
      </c>
      <c r="P362" s="26">
        <v>181.5</v>
      </c>
      <c r="Q362" s="26">
        <v>171.5</v>
      </c>
      <c r="R362" s="26">
        <v>197.5</v>
      </c>
      <c r="S362" s="26">
        <v>167.1</v>
      </c>
      <c r="T362" s="26">
        <v>152.6</v>
      </c>
      <c r="U362" s="26">
        <v>164.9</v>
      </c>
      <c r="V362" s="26">
        <v>165.3</v>
      </c>
      <c r="W362" s="26">
        <v>164.5</v>
      </c>
      <c r="X362" s="26">
        <v>158.6</v>
      </c>
      <c r="Y362" s="26">
        <v>168.2</v>
      </c>
      <c r="Z362" s="26">
        <v>154.19999999999999</v>
      </c>
      <c r="AA362" s="26">
        <v>160.80000000000001</v>
      </c>
      <c r="AB362" s="26">
        <v>162.69999999999999</v>
      </c>
      <c r="AC362" s="26">
        <v>166.8</v>
      </c>
      <c r="AD362" s="26">
        <v>160.6</v>
      </c>
      <c r="AE362" s="26">
        <v>166.5</v>
      </c>
      <c r="AF362" s="26">
        <v>2196.3000000000002</v>
      </c>
      <c r="AG362" s="26">
        <v>484.6</v>
      </c>
      <c r="AH362" s="26">
        <v>488.4</v>
      </c>
      <c r="AI362" s="26">
        <v>335</v>
      </c>
      <c r="AJ362" s="26">
        <v>321.39999999999998</v>
      </c>
      <c r="AK362" s="26">
        <v>4340.1000000000004</v>
      </c>
    </row>
    <row r="363" spans="1:37" x14ac:dyDescent="0.25">
      <c r="A363" t="s">
        <v>34</v>
      </c>
      <c r="B363">
        <v>2022</v>
      </c>
      <c r="C363" t="s">
        <v>38</v>
      </c>
      <c r="D363" s="25">
        <v>44652</v>
      </c>
      <c r="E363" s="26">
        <v>155.4</v>
      </c>
      <c r="F363" s="26">
        <v>215.8</v>
      </c>
      <c r="G363" s="26">
        <v>164.6</v>
      </c>
      <c r="H363" s="26">
        <v>164.2</v>
      </c>
      <c r="I363" s="26">
        <v>186</v>
      </c>
      <c r="J363" s="26">
        <v>175.9</v>
      </c>
      <c r="K363" s="26">
        <v>190.7</v>
      </c>
      <c r="L363" s="26">
        <v>164</v>
      </c>
      <c r="M363" s="26">
        <v>120.5</v>
      </c>
      <c r="N363" s="26">
        <v>178</v>
      </c>
      <c r="O363" s="26">
        <v>157.5</v>
      </c>
      <c r="P363" s="26">
        <v>183.3</v>
      </c>
      <c r="Q363" s="26">
        <v>174.5</v>
      </c>
      <c r="R363" s="26">
        <v>197.1</v>
      </c>
      <c r="S363" s="26">
        <v>168.4</v>
      </c>
      <c r="T363" s="26">
        <v>154.5</v>
      </c>
      <c r="U363" s="26">
        <v>166.3</v>
      </c>
      <c r="V363" s="26">
        <v>167</v>
      </c>
      <c r="W363" s="26">
        <v>170.5</v>
      </c>
      <c r="X363" s="26">
        <v>159.80000000000001</v>
      </c>
      <c r="Y363" s="26">
        <v>169</v>
      </c>
      <c r="Z363" s="26">
        <v>159.30000000000001</v>
      </c>
      <c r="AA363" s="26">
        <v>162.19999999999999</v>
      </c>
      <c r="AB363" s="26">
        <v>164</v>
      </c>
      <c r="AC363" s="26">
        <v>168.4</v>
      </c>
      <c r="AD363" s="26">
        <v>163.1</v>
      </c>
      <c r="AE363" s="26">
        <v>169.2</v>
      </c>
      <c r="AF363" s="26">
        <v>2230.4</v>
      </c>
      <c r="AG363" s="26">
        <v>489.2</v>
      </c>
      <c r="AH363" s="26">
        <v>497.3</v>
      </c>
      <c r="AI363" s="26">
        <v>337.4</v>
      </c>
      <c r="AJ363" s="26">
        <v>325.29999999999995</v>
      </c>
      <c r="AK363" s="26">
        <v>4400</v>
      </c>
    </row>
    <row r="364" spans="1:37" x14ac:dyDescent="0.25">
      <c r="A364" t="s">
        <v>34</v>
      </c>
      <c r="B364">
        <v>2022</v>
      </c>
      <c r="C364" t="s">
        <v>39</v>
      </c>
      <c r="D364" s="25">
        <v>44682</v>
      </c>
      <c r="E364" s="26">
        <v>156.69999999999999</v>
      </c>
      <c r="F364" s="26">
        <v>221.2</v>
      </c>
      <c r="G364" s="26">
        <v>164.1</v>
      </c>
      <c r="H364" s="26">
        <v>165.4</v>
      </c>
      <c r="I364" s="26">
        <v>189.5</v>
      </c>
      <c r="J364" s="26">
        <v>174.5</v>
      </c>
      <c r="K364" s="26">
        <v>203.2</v>
      </c>
      <c r="L364" s="26">
        <v>164.1</v>
      </c>
      <c r="M364" s="26">
        <v>121.2</v>
      </c>
      <c r="N364" s="26">
        <v>181.4</v>
      </c>
      <c r="O364" s="26">
        <v>158.5</v>
      </c>
      <c r="P364" s="26">
        <v>184.9</v>
      </c>
      <c r="Q364" s="26">
        <v>177.5</v>
      </c>
      <c r="R364" s="26">
        <v>197.5</v>
      </c>
      <c r="S364" s="26">
        <v>170</v>
      </c>
      <c r="T364" s="26">
        <v>155.9</v>
      </c>
      <c r="U364" s="26">
        <v>167.8</v>
      </c>
      <c r="V364" s="26">
        <v>167.5</v>
      </c>
      <c r="W364" s="26">
        <v>173.5</v>
      </c>
      <c r="X364" s="26">
        <v>161.1</v>
      </c>
      <c r="Y364" s="26">
        <v>170.1</v>
      </c>
      <c r="Z364" s="26">
        <v>159.4</v>
      </c>
      <c r="AA364" s="26">
        <v>163.19999999999999</v>
      </c>
      <c r="AB364" s="26">
        <v>165.2</v>
      </c>
      <c r="AC364" s="26">
        <v>168.2</v>
      </c>
      <c r="AD364" s="26">
        <v>163.80000000000001</v>
      </c>
      <c r="AE364" s="26">
        <v>170.8</v>
      </c>
      <c r="AF364" s="26">
        <v>2262.2000000000003</v>
      </c>
      <c r="AG364" s="26">
        <v>493.7</v>
      </c>
      <c r="AH364" s="26">
        <v>502.1</v>
      </c>
      <c r="AI364" s="26">
        <v>338.29999999999995</v>
      </c>
      <c r="AJ364" s="26">
        <v>327</v>
      </c>
      <c r="AK364" s="26">
        <v>4445.3999999999996</v>
      </c>
    </row>
    <row r="365" spans="1:37" x14ac:dyDescent="0.25">
      <c r="A365" t="s">
        <v>34</v>
      </c>
      <c r="B365">
        <v>2022</v>
      </c>
      <c r="C365" t="s">
        <v>40</v>
      </c>
      <c r="D365" s="25">
        <v>44713</v>
      </c>
      <c r="E365" s="26">
        <v>157.5</v>
      </c>
      <c r="F365" s="26">
        <v>223.4</v>
      </c>
      <c r="G365" s="26">
        <v>172.8</v>
      </c>
      <c r="H365" s="26">
        <v>166.4</v>
      </c>
      <c r="I365" s="26">
        <v>188.6</v>
      </c>
      <c r="J365" s="26">
        <v>174.1</v>
      </c>
      <c r="K365" s="26">
        <v>211.5</v>
      </c>
      <c r="L365" s="26">
        <v>163.6</v>
      </c>
      <c r="M365" s="26">
        <v>121.4</v>
      </c>
      <c r="N365" s="26">
        <v>183.5</v>
      </c>
      <c r="O365" s="26">
        <v>159.1</v>
      </c>
      <c r="P365" s="26">
        <v>186.3</v>
      </c>
      <c r="Q365" s="26">
        <v>179.3</v>
      </c>
      <c r="R365" s="26">
        <v>198.3</v>
      </c>
      <c r="S365" s="26">
        <v>171.6</v>
      </c>
      <c r="T365" s="26">
        <v>157.4</v>
      </c>
      <c r="U365" s="26">
        <v>169.4</v>
      </c>
      <c r="V365" s="26">
        <v>166.8</v>
      </c>
      <c r="W365" s="26">
        <v>174.9</v>
      </c>
      <c r="X365" s="26">
        <v>162.1</v>
      </c>
      <c r="Y365" s="26">
        <v>170.9</v>
      </c>
      <c r="Z365" s="26">
        <v>157.19999999999999</v>
      </c>
      <c r="AA365" s="26">
        <v>164.1</v>
      </c>
      <c r="AB365" s="26">
        <v>166.5</v>
      </c>
      <c r="AC365" s="26">
        <v>169.2</v>
      </c>
      <c r="AD365" s="26">
        <v>163.80000000000001</v>
      </c>
      <c r="AE365" s="26">
        <v>171.4</v>
      </c>
      <c r="AF365" s="26">
        <v>2287.5</v>
      </c>
      <c r="AG365" s="26">
        <v>498.4</v>
      </c>
      <c r="AH365" s="26">
        <v>503.80000000000007</v>
      </c>
      <c r="AI365" s="26">
        <v>340.1</v>
      </c>
      <c r="AJ365" s="26">
        <v>327.9</v>
      </c>
      <c r="AK365" s="26">
        <v>4479.7</v>
      </c>
    </row>
    <row r="366" spans="1:37" x14ac:dyDescent="0.25">
      <c r="A366" t="s">
        <v>34</v>
      </c>
      <c r="B366">
        <v>2022</v>
      </c>
      <c r="C366" t="s">
        <v>41</v>
      </c>
      <c r="D366" s="25">
        <v>44743</v>
      </c>
      <c r="E366" s="26">
        <v>159.30000000000001</v>
      </c>
      <c r="F366" s="26">
        <v>217.1</v>
      </c>
      <c r="G366" s="26">
        <v>176.6</v>
      </c>
      <c r="H366" s="26">
        <v>167.1</v>
      </c>
      <c r="I366" s="26">
        <v>184.8</v>
      </c>
      <c r="J366" s="26">
        <v>179.5</v>
      </c>
      <c r="K366" s="26">
        <v>208.5</v>
      </c>
      <c r="L366" s="26">
        <v>164</v>
      </c>
      <c r="M366" s="26">
        <v>121.5</v>
      </c>
      <c r="N366" s="26">
        <v>186.3</v>
      </c>
      <c r="O366" s="26">
        <v>159.80000000000001</v>
      </c>
      <c r="P366" s="26">
        <v>187.7</v>
      </c>
      <c r="Q366" s="26">
        <v>179.4</v>
      </c>
      <c r="R366" s="26">
        <v>198.6</v>
      </c>
      <c r="S366" s="26">
        <v>172.7</v>
      </c>
      <c r="T366" s="26">
        <v>158.69999999999999</v>
      </c>
      <c r="U366" s="26">
        <v>170.6</v>
      </c>
      <c r="V366" s="26">
        <v>167.8</v>
      </c>
      <c r="W366" s="26">
        <v>179.5</v>
      </c>
      <c r="X366" s="26">
        <v>163.1</v>
      </c>
      <c r="Y366" s="26">
        <v>171.7</v>
      </c>
      <c r="Z366" s="26">
        <v>157.4</v>
      </c>
      <c r="AA366" s="26">
        <v>164.6</v>
      </c>
      <c r="AB366" s="26">
        <v>169.1</v>
      </c>
      <c r="AC366" s="26">
        <v>169.8</v>
      </c>
      <c r="AD366" s="26">
        <v>164.7</v>
      </c>
      <c r="AE366" s="26">
        <v>172.3</v>
      </c>
      <c r="AF366" s="26">
        <v>2291.6</v>
      </c>
      <c r="AG366" s="26">
        <v>502</v>
      </c>
      <c r="AH366" s="26">
        <v>510.4</v>
      </c>
      <c r="AI366" s="26">
        <v>341.5</v>
      </c>
      <c r="AJ366" s="26">
        <v>329.29999999999995</v>
      </c>
      <c r="AK366" s="26">
        <v>4499.9000000000005</v>
      </c>
    </row>
    <row r="367" spans="1:37" x14ac:dyDescent="0.25">
      <c r="A367" t="s">
        <v>34</v>
      </c>
      <c r="B367">
        <v>2022</v>
      </c>
      <c r="C367" t="s">
        <v>42</v>
      </c>
      <c r="D367" s="25">
        <v>44774</v>
      </c>
      <c r="E367" s="26">
        <v>162.1</v>
      </c>
      <c r="F367" s="26">
        <v>210.9</v>
      </c>
      <c r="G367" s="26">
        <v>170.6</v>
      </c>
      <c r="H367" s="26">
        <v>168.4</v>
      </c>
      <c r="I367" s="26">
        <v>182.5</v>
      </c>
      <c r="J367" s="26">
        <v>177.1</v>
      </c>
      <c r="K367" s="26">
        <v>213.1</v>
      </c>
      <c r="L367" s="26">
        <v>167.3</v>
      </c>
      <c r="M367" s="26">
        <v>122.2</v>
      </c>
      <c r="N367" s="26">
        <v>189.7</v>
      </c>
      <c r="O367" s="26">
        <v>160.5</v>
      </c>
      <c r="P367" s="26">
        <v>188.9</v>
      </c>
      <c r="Q367" s="26">
        <v>180.4</v>
      </c>
      <c r="R367" s="26">
        <v>198.7</v>
      </c>
      <c r="S367" s="26">
        <v>173.7</v>
      </c>
      <c r="T367" s="26">
        <v>160</v>
      </c>
      <c r="U367" s="26">
        <v>171.6</v>
      </c>
      <c r="V367" s="26">
        <v>169</v>
      </c>
      <c r="W367" s="26">
        <v>178.4</v>
      </c>
      <c r="X367" s="26">
        <v>164.2</v>
      </c>
      <c r="Y367" s="26">
        <v>172.6</v>
      </c>
      <c r="Z367" s="26">
        <v>157.69999999999999</v>
      </c>
      <c r="AA367" s="26">
        <v>165.1</v>
      </c>
      <c r="AB367" s="26">
        <v>169.9</v>
      </c>
      <c r="AC367" s="26">
        <v>171.4</v>
      </c>
      <c r="AD367" s="26">
        <v>165.4</v>
      </c>
      <c r="AE367" s="26">
        <v>173.1</v>
      </c>
      <c r="AF367" s="26">
        <v>2293.6999999999998</v>
      </c>
      <c r="AG367" s="26">
        <v>505.29999999999995</v>
      </c>
      <c r="AH367" s="26">
        <v>511.59999999999997</v>
      </c>
      <c r="AI367" s="26">
        <v>344</v>
      </c>
      <c r="AJ367" s="26">
        <v>330.5</v>
      </c>
      <c r="AK367" s="26">
        <v>4511.3999999999996</v>
      </c>
    </row>
    <row r="368" spans="1:37" x14ac:dyDescent="0.25">
      <c r="A368" t="s">
        <v>34</v>
      </c>
      <c r="B368">
        <v>2022</v>
      </c>
      <c r="C368" t="s">
        <v>43</v>
      </c>
      <c r="D368" s="25">
        <v>44805</v>
      </c>
      <c r="E368" s="26">
        <v>164.9</v>
      </c>
      <c r="F368" s="26">
        <v>213.7</v>
      </c>
      <c r="G368" s="26">
        <v>170.9</v>
      </c>
      <c r="H368" s="26">
        <v>170.1</v>
      </c>
      <c r="I368" s="26">
        <v>179.3</v>
      </c>
      <c r="J368" s="26">
        <v>167.5</v>
      </c>
      <c r="K368" s="26">
        <v>220.8</v>
      </c>
      <c r="L368" s="26">
        <v>169.2</v>
      </c>
      <c r="M368" s="26">
        <v>123.1</v>
      </c>
      <c r="N368" s="26">
        <v>193.6</v>
      </c>
      <c r="O368" s="26">
        <v>161.1</v>
      </c>
      <c r="P368" s="26">
        <v>190.4</v>
      </c>
      <c r="Q368" s="26">
        <v>181.8</v>
      </c>
      <c r="R368" s="26">
        <v>199.7</v>
      </c>
      <c r="S368" s="26">
        <v>175</v>
      </c>
      <c r="T368" s="26">
        <v>161.69999999999999</v>
      </c>
      <c r="U368" s="26">
        <v>173</v>
      </c>
      <c r="V368" s="26">
        <v>169.5</v>
      </c>
      <c r="W368" s="26">
        <v>179.2</v>
      </c>
      <c r="X368" s="26">
        <v>165</v>
      </c>
      <c r="Y368" s="26">
        <v>173.8</v>
      </c>
      <c r="Z368" s="26">
        <v>158.19999999999999</v>
      </c>
      <c r="AA368" s="26">
        <v>165.8</v>
      </c>
      <c r="AB368" s="26">
        <v>170.9</v>
      </c>
      <c r="AC368" s="26">
        <v>171.1</v>
      </c>
      <c r="AD368" s="26">
        <v>166.1</v>
      </c>
      <c r="AE368" s="26">
        <v>174.1</v>
      </c>
      <c r="AF368" s="26">
        <v>2306.4</v>
      </c>
      <c r="AG368" s="26">
        <v>509.7</v>
      </c>
      <c r="AH368" s="26">
        <v>513.70000000000005</v>
      </c>
      <c r="AI368" s="26">
        <v>344.9</v>
      </c>
      <c r="AJ368" s="26">
        <v>331.9</v>
      </c>
      <c r="AK368" s="26">
        <v>4535.3999999999987</v>
      </c>
    </row>
    <row r="369" spans="1:37" x14ac:dyDescent="0.25">
      <c r="A369" t="s">
        <v>34</v>
      </c>
      <c r="B369">
        <v>2022</v>
      </c>
      <c r="C369" t="s">
        <v>44</v>
      </c>
      <c r="D369" s="25">
        <v>44835</v>
      </c>
      <c r="E369" s="26">
        <v>166.4</v>
      </c>
      <c r="F369" s="26">
        <v>214.9</v>
      </c>
      <c r="G369" s="26">
        <v>171.9</v>
      </c>
      <c r="H369" s="26">
        <v>171</v>
      </c>
      <c r="I369" s="26">
        <v>177.7</v>
      </c>
      <c r="J369" s="26">
        <v>165.7</v>
      </c>
      <c r="K369" s="26">
        <v>228.6</v>
      </c>
      <c r="L369" s="26">
        <v>169.9</v>
      </c>
      <c r="M369" s="26">
        <v>123.4</v>
      </c>
      <c r="N369" s="26">
        <v>196.4</v>
      </c>
      <c r="O369" s="26">
        <v>161.6</v>
      </c>
      <c r="P369" s="26">
        <v>191.5</v>
      </c>
      <c r="Q369" s="26">
        <v>183.3</v>
      </c>
      <c r="R369" s="26">
        <v>200.1</v>
      </c>
      <c r="S369" s="26">
        <v>175.5</v>
      </c>
      <c r="T369" s="26">
        <v>162.6</v>
      </c>
      <c r="U369" s="26">
        <v>173.6</v>
      </c>
      <c r="V369" s="26">
        <v>171.2</v>
      </c>
      <c r="W369" s="26">
        <v>180</v>
      </c>
      <c r="X369" s="26">
        <v>166</v>
      </c>
      <c r="Y369" s="26">
        <v>174.7</v>
      </c>
      <c r="Z369" s="26">
        <v>158.80000000000001</v>
      </c>
      <c r="AA369" s="26">
        <v>166.3</v>
      </c>
      <c r="AB369" s="26">
        <v>171.2</v>
      </c>
      <c r="AC369" s="26">
        <v>172.3</v>
      </c>
      <c r="AD369" s="26">
        <v>166.8</v>
      </c>
      <c r="AE369" s="26">
        <v>175.3</v>
      </c>
      <c r="AF369" s="26">
        <v>2322.3000000000002</v>
      </c>
      <c r="AG369" s="26">
        <v>511.70000000000005</v>
      </c>
      <c r="AH369" s="26">
        <v>517.20000000000005</v>
      </c>
      <c r="AI369" s="26">
        <v>347</v>
      </c>
      <c r="AJ369" s="26">
        <v>333.1</v>
      </c>
      <c r="AK369" s="26">
        <v>4561.4000000000005</v>
      </c>
    </row>
    <row r="370" spans="1:37" x14ac:dyDescent="0.25">
      <c r="A370" t="s">
        <v>34</v>
      </c>
      <c r="B370">
        <v>2022</v>
      </c>
      <c r="C370" t="s">
        <v>46</v>
      </c>
      <c r="D370" s="25">
        <v>44866</v>
      </c>
      <c r="E370" s="26">
        <v>168.4</v>
      </c>
      <c r="F370" s="26">
        <v>213.4</v>
      </c>
      <c r="G370" s="26">
        <v>183.2</v>
      </c>
      <c r="H370" s="26">
        <v>172.3</v>
      </c>
      <c r="I370" s="26">
        <v>180</v>
      </c>
      <c r="J370" s="26">
        <v>162.6</v>
      </c>
      <c r="K370" s="26">
        <v>205.5</v>
      </c>
      <c r="L370" s="26">
        <v>171</v>
      </c>
      <c r="M370" s="26">
        <v>123.4</v>
      </c>
      <c r="N370" s="26">
        <v>198.8</v>
      </c>
      <c r="O370" s="26">
        <v>162.1</v>
      </c>
      <c r="P370" s="26">
        <v>192.4</v>
      </c>
      <c r="Q370" s="26">
        <v>181.3</v>
      </c>
      <c r="R370" s="26">
        <v>200.6</v>
      </c>
      <c r="S370" s="26">
        <v>176.7</v>
      </c>
      <c r="T370" s="26">
        <v>163.5</v>
      </c>
      <c r="U370" s="26">
        <v>174.7</v>
      </c>
      <c r="V370" s="26">
        <v>171.8</v>
      </c>
      <c r="W370" s="26">
        <v>180.3</v>
      </c>
      <c r="X370" s="26">
        <v>166.9</v>
      </c>
      <c r="Y370" s="26">
        <v>175.8</v>
      </c>
      <c r="Z370" s="26">
        <v>158.9</v>
      </c>
      <c r="AA370" s="26">
        <v>166.7</v>
      </c>
      <c r="AB370" s="26">
        <v>171.5</v>
      </c>
      <c r="AC370" s="26">
        <v>173.8</v>
      </c>
      <c r="AD370" s="26">
        <v>167.4</v>
      </c>
      <c r="AE370" s="26">
        <v>174.1</v>
      </c>
      <c r="AF370" s="26">
        <v>2314.4</v>
      </c>
      <c r="AG370" s="26">
        <v>514.9</v>
      </c>
      <c r="AH370" s="26">
        <v>519</v>
      </c>
      <c r="AI370" s="26">
        <v>349.6</v>
      </c>
      <c r="AJ370" s="26">
        <v>334.1</v>
      </c>
      <c r="AK370" s="26">
        <v>4563.0000000000009</v>
      </c>
    </row>
    <row r="371" spans="1:37" x14ac:dyDescent="0.25">
      <c r="A371" t="s">
        <v>34</v>
      </c>
      <c r="B371">
        <v>2022</v>
      </c>
      <c r="C371" t="s">
        <v>47</v>
      </c>
      <c r="D371" s="25">
        <v>44896</v>
      </c>
      <c r="E371" s="26">
        <v>170.2</v>
      </c>
      <c r="F371" s="26">
        <v>212.9</v>
      </c>
      <c r="G371" s="26">
        <v>191.9</v>
      </c>
      <c r="H371" s="26">
        <v>173.9</v>
      </c>
      <c r="I371" s="26">
        <v>179.1</v>
      </c>
      <c r="J371" s="26">
        <v>159.5</v>
      </c>
      <c r="K371" s="26">
        <v>178.7</v>
      </c>
      <c r="L371" s="26">
        <v>171.3</v>
      </c>
      <c r="M371" s="26">
        <v>123.1</v>
      </c>
      <c r="N371" s="26">
        <v>200.5</v>
      </c>
      <c r="O371" s="26">
        <v>162.80000000000001</v>
      </c>
      <c r="P371" s="26">
        <v>193.3</v>
      </c>
      <c r="Q371" s="26">
        <v>178.6</v>
      </c>
      <c r="R371" s="26">
        <v>201.1</v>
      </c>
      <c r="S371" s="26">
        <v>177.7</v>
      </c>
      <c r="T371" s="26">
        <v>164.5</v>
      </c>
      <c r="U371" s="26">
        <v>175.7</v>
      </c>
      <c r="V371" s="26">
        <v>170.7</v>
      </c>
      <c r="W371" s="26">
        <v>180.6</v>
      </c>
      <c r="X371" s="26">
        <v>167.3</v>
      </c>
      <c r="Y371" s="26">
        <v>177.2</v>
      </c>
      <c r="Z371" s="26">
        <v>159.4</v>
      </c>
      <c r="AA371" s="26">
        <v>167.1</v>
      </c>
      <c r="AB371" s="26">
        <v>171.8</v>
      </c>
      <c r="AC371" s="26">
        <v>176</v>
      </c>
      <c r="AD371" s="26">
        <v>168.2</v>
      </c>
      <c r="AE371" s="26">
        <v>174.1</v>
      </c>
      <c r="AF371" s="26">
        <v>2295.7999999999997</v>
      </c>
      <c r="AG371" s="26">
        <v>517.9</v>
      </c>
      <c r="AH371" s="26">
        <v>518.59999999999991</v>
      </c>
      <c r="AI371" s="26">
        <v>353.2</v>
      </c>
      <c r="AJ371" s="26">
        <v>335.29999999999995</v>
      </c>
      <c r="AK371" s="26">
        <v>4553.0999999999995</v>
      </c>
    </row>
    <row r="372" spans="1:37" x14ac:dyDescent="0.25">
      <c r="A372" t="s">
        <v>34</v>
      </c>
      <c r="B372">
        <v>2023</v>
      </c>
      <c r="C372" t="s">
        <v>32</v>
      </c>
      <c r="D372" s="25">
        <v>44927</v>
      </c>
      <c r="E372" s="26">
        <v>173.3</v>
      </c>
      <c r="F372" s="26">
        <v>215.2</v>
      </c>
      <c r="G372" s="26">
        <v>197</v>
      </c>
      <c r="H372" s="26">
        <v>175.2</v>
      </c>
      <c r="I372" s="26">
        <v>178</v>
      </c>
      <c r="J372" s="26">
        <v>160.5</v>
      </c>
      <c r="K372" s="26">
        <v>175.3</v>
      </c>
      <c r="L372" s="26">
        <v>171.2</v>
      </c>
      <c r="M372" s="26">
        <v>122.7</v>
      </c>
      <c r="N372" s="26">
        <v>204.3</v>
      </c>
      <c r="O372" s="26">
        <v>163.69999999999999</v>
      </c>
      <c r="P372" s="26">
        <v>194.3</v>
      </c>
      <c r="Q372" s="26">
        <v>179.5</v>
      </c>
      <c r="R372" s="26">
        <v>201.6</v>
      </c>
      <c r="S372" s="26">
        <v>178.7</v>
      </c>
      <c r="T372" s="26">
        <v>165.3</v>
      </c>
      <c r="U372" s="26">
        <v>176.6</v>
      </c>
      <c r="V372" s="26">
        <v>172.1</v>
      </c>
      <c r="W372" s="26">
        <v>180.1</v>
      </c>
      <c r="X372" s="26">
        <v>168</v>
      </c>
      <c r="Y372" s="26">
        <v>178.5</v>
      </c>
      <c r="Z372" s="26">
        <v>159.5</v>
      </c>
      <c r="AA372" s="26">
        <v>167.8</v>
      </c>
      <c r="AB372" s="26">
        <v>171.8</v>
      </c>
      <c r="AC372" s="26">
        <v>178.8</v>
      </c>
      <c r="AD372" s="26">
        <v>168.9</v>
      </c>
      <c r="AE372" s="26">
        <v>174.9</v>
      </c>
      <c r="AF372" s="26">
        <v>2310.2000000000003</v>
      </c>
      <c r="AG372" s="26">
        <v>520.6</v>
      </c>
      <c r="AH372" s="26">
        <v>520.20000000000005</v>
      </c>
      <c r="AI372" s="26">
        <v>357.3</v>
      </c>
      <c r="AJ372" s="26">
        <v>336.70000000000005</v>
      </c>
      <c r="AK372" s="26">
        <v>4577.9000000000005</v>
      </c>
    </row>
    <row r="373" spans="1:37" x14ac:dyDescent="0.25">
      <c r="A373" t="s">
        <v>34</v>
      </c>
      <c r="B373">
        <v>2023</v>
      </c>
      <c r="C373" t="s">
        <v>36</v>
      </c>
      <c r="D373" s="25">
        <v>44958</v>
      </c>
      <c r="E373" s="26">
        <v>174.7</v>
      </c>
      <c r="F373" s="26">
        <v>212.2</v>
      </c>
      <c r="G373" s="26">
        <v>177.2</v>
      </c>
      <c r="H373" s="26">
        <v>177.9</v>
      </c>
      <c r="I373" s="26">
        <v>172.2</v>
      </c>
      <c r="J373" s="26">
        <v>172.1</v>
      </c>
      <c r="K373" s="26">
        <v>175.8</v>
      </c>
      <c r="L373" s="26">
        <v>172.2</v>
      </c>
      <c r="M373" s="26">
        <v>121.9</v>
      </c>
      <c r="N373" s="26">
        <v>204.8</v>
      </c>
      <c r="O373" s="26">
        <v>164.9</v>
      </c>
      <c r="P373" s="26">
        <v>196.6</v>
      </c>
      <c r="Q373" s="26">
        <v>180.7</v>
      </c>
      <c r="R373" s="26">
        <v>202.7</v>
      </c>
      <c r="S373" s="26">
        <v>180.3</v>
      </c>
      <c r="T373" s="26">
        <v>167</v>
      </c>
      <c r="U373" s="26">
        <v>178.2</v>
      </c>
      <c r="V373" s="26">
        <v>173.5</v>
      </c>
      <c r="W373" s="26">
        <v>182.8</v>
      </c>
      <c r="X373" s="26">
        <v>169.2</v>
      </c>
      <c r="Y373" s="26">
        <v>180.8</v>
      </c>
      <c r="Z373" s="26">
        <v>159.80000000000001</v>
      </c>
      <c r="AA373" s="26">
        <v>168.4</v>
      </c>
      <c r="AB373" s="26">
        <v>172.5</v>
      </c>
      <c r="AC373" s="26">
        <v>181.4</v>
      </c>
      <c r="AD373" s="26">
        <v>170</v>
      </c>
      <c r="AE373" s="26">
        <v>176.3</v>
      </c>
      <c r="AF373" s="26">
        <v>2303.1999999999998</v>
      </c>
      <c r="AG373" s="26">
        <v>525.5</v>
      </c>
      <c r="AH373" s="26">
        <v>525.5</v>
      </c>
      <c r="AI373" s="26">
        <v>362.20000000000005</v>
      </c>
      <c r="AJ373" s="26">
        <v>338.4</v>
      </c>
      <c r="AK373" s="26">
        <v>4589.7999999999993</v>
      </c>
    </row>
    <row r="374" spans="1:37" x14ac:dyDescent="0.25">
      <c r="A374" t="s">
        <v>34</v>
      </c>
      <c r="B374">
        <v>2023</v>
      </c>
      <c r="C374" t="s">
        <v>37</v>
      </c>
      <c r="D374" s="25">
        <v>44986</v>
      </c>
      <c r="E374" s="26">
        <v>174.7</v>
      </c>
      <c r="F374" s="26">
        <v>212.2</v>
      </c>
      <c r="G374" s="26">
        <v>177.2</v>
      </c>
      <c r="H374" s="26">
        <v>177.9</v>
      </c>
      <c r="I374" s="26">
        <v>172.2</v>
      </c>
      <c r="J374" s="26">
        <v>172.1</v>
      </c>
      <c r="K374" s="26">
        <v>175.9</v>
      </c>
      <c r="L374" s="26">
        <v>172.2</v>
      </c>
      <c r="M374" s="26">
        <v>121.9</v>
      </c>
      <c r="N374" s="26">
        <v>204.8</v>
      </c>
      <c r="O374" s="26">
        <v>164.9</v>
      </c>
      <c r="P374" s="26">
        <v>196.6</v>
      </c>
      <c r="Q374" s="26">
        <v>180.8</v>
      </c>
      <c r="R374" s="26">
        <v>202.7</v>
      </c>
      <c r="S374" s="26">
        <v>180.2</v>
      </c>
      <c r="T374" s="26">
        <v>167</v>
      </c>
      <c r="U374" s="26">
        <v>178.2</v>
      </c>
      <c r="V374" s="26">
        <v>173.5</v>
      </c>
      <c r="W374" s="26">
        <v>182.6</v>
      </c>
      <c r="X374" s="26">
        <v>169.2</v>
      </c>
      <c r="Y374" s="26">
        <v>180.8</v>
      </c>
      <c r="Z374" s="26">
        <v>159.80000000000001</v>
      </c>
      <c r="AA374" s="26">
        <v>168.4</v>
      </c>
      <c r="AB374" s="26">
        <v>172.5</v>
      </c>
      <c r="AC374" s="26">
        <v>181.5</v>
      </c>
      <c r="AD374" s="26">
        <v>170</v>
      </c>
      <c r="AE374" s="26">
        <v>176.3</v>
      </c>
      <c r="AF374" s="26">
        <v>2303.4</v>
      </c>
      <c r="AG374" s="26">
        <v>525.4</v>
      </c>
      <c r="AH374" s="26">
        <v>525.29999999999995</v>
      </c>
      <c r="AI374" s="26">
        <v>362.3</v>
      </c>
      <c r="AJ374" s="26">
        <v>338.4</v>
      </c>
      <c r="AK374" s="26">
        <v>4589.8</v>
      </c>
    </row>
    <row r="375" spans="1:37" x14ac:dyDescent="0.25">
      <c r="A375" t="s">
        <v>34</v>
      </c>
      <c r="B375">
        <v>2023</v>
      </c>
      <c r="C375" t="s">
        <v>38</v>
      </c>
      <c r="D375" s="25">
        <v>45017</v>
      </c>
      <c r="E375" s="26">
        <v>174.8</v>
      </c>
      <c r="F375" s="26">
        <v>213.7</v>
      </c>
      <c r="G375" s="26">
        <v>172.4</v>
      </c>
      <c r="H375" s="26">
        <v>178.8</v>
      </c>
      <c r="I375" s="26">
        <v>168.7</v>
      </c>
      <c r="J375" s="26">
        <v>179.2</v>
      </c>
      <c r="K375" s="26">
        <v>179.9</v>
      </c>
      <c r="L375" s="26">
        <v>174.7</v>
      </c>
      <c r="M375" s="26">
        <v>123.1</v>
      </c>
      <c r="N375" s="26">
        <v>207.8</v>
      </c>
      <c r="O375" s="26">
        <v>165.5</v>
      </c>
      <c r="P375" s="26">
        <v>197</v>
      </c>
      <c r="Q375" s="26">
        <v>182.1</v>
      </c>
      <c r="R375" s="26">
        <v>203.5</v>
      </c>
      <c r="S375" s="26">
        <v>181</v>
      </c>
      <c r="T375" s="26">
        <v>167.7</v>
      </c>
      <c r="U375" s="26">
        <v>178.9</v>
      </c>
      <c r="V375" s="26">
        <v>175.2</v>
      </c>
      <c r="W375" s="26">
        <v>182.1</v>
      </c>
      <c r="X375" s="26">
        <v>169.6</v>
      </c>
      <c r="Y375" s="26">
        <v>181.5</v>
      </c>
      <c r="Z375" s="26">
        <v>160.1</v>
      </c>
      <c r="AA375" s="26">
        <v>168.8</v>
      </c>
      <c r="AB375" s="26">
        <v>174.2</v>
      </c>
      <c r="AC375" s="26">
        <v>184.4</v>
      </c>
      <c r="AD375" s="26">
        <v>170.9</v>
      </c>
      <c r="AE375" s="26">
        <v>177.4</v>
      </c>
      <c r="AF375" s="26">
        <v>2317.7000000000003</v>
      </c>
      <c r="AG375" s="26">
        <v>527.6</v>
      </c>
      <c r="AH375" s="26">
        <v>526.9</v>
      </c>
      <c r="AI375" s="26">
        <v>365.9</v>
      </c>
      <c r="AJ375" s="26">
        <v>339.70000000000005</v>
      </c>
      <c r="AK375" s="26">
        <v>4615.5999999999995</v>
      </c>
    </row>
    <row r="376" spans="1:37" x14ac:dyDescent="0.25">
      <c r="A376" t="s">
        <v>34</v>
      </c>
      <c r="B376">
        <v>2023</v>
      </c>
      <c r="C376" t="s">
        <v>39</v>
      </c>
      <c r="D376" s="25">
        <v>45047</v>
      </c>
      <c r="E376" s="26">
        <v>174.7</v>
      </c>
      <c r="F376" s="26">
        <v>219.4</v>
      </c>
      <c r="G376" s="26">
        <v>176.7</v>
      </c>
      <c r="H376" s="26">
        <v>179.4</v>
      </c>
      <c r="I376" s="26">
        <v>164.4</v>
      </c>
      <c r="J376" s="26">
        <v>175.8</v>
      </c>
      <c r="K376" s="26">
        <v>185</v>
      </c>
      <c r="L376" s="26">
        <v>176.9</v>
      </c>
      <c r="M376" s="26">
        <v>124.2</v>
      </c>
      <c r="N376" s="26">
        <v>211.9</v>
      </c>
      <c r="O376" s="26">
        <v>165.9</v>
      </c>
      <c r="P376" s="26">
        <v>197.7</v>
      </c>
      <c r="Q376" s="26">
        <v>183.1</v>
      </c>
      <c r="R376" s="26">
        <v>204.2</v>
      </c>
      <c r="S376" s="26">
        <v>181.3</v>
      </c>
      <c r="T376" s="26">
        <v>168.1</v>
      </c>
      <c r="U376" s="26">
        <v>179.3</v>
      </c>
      <c r="V376" s="26">
        <v>175.6</v>
      </c>
      <c r="W376" s="26">
        <v>183.4</v>
      </c>
      <c r="X376" s="26">
        <v>170.1</v>
      </c>
      <c r="Y376" s="26">
        <v>182.2</v>
      </c>
      <c r="Z376" s="26">
        <v>160.4</v>
      </c>
      <c r="AA376" s="26">
        <v>169.2</v>
      </c>
      <c r="AB376" s="26">
        <v>177.1</v>
      </c>
      <c r="AC376" s="26">
        <v>185.6</v>
      </c>
      <c r="AD376" s="26">
        <v>171.6</v>
      </c>
      <c r="AE376" s="26">
        <v>178.2</v>
      </c>
      <c r="AF376" s="26">
        <v>2335.1</v>
      </c>
      <c r="AG376" s="26">
        <v>528.70000000000005</v>
      </c>
      <c r="AH376" s="26">
        <v>529.1</v>
      </c>
      <c r="AI376" s="26">
        <v>367.79999999999995</v>
      </c>
      <c r="AJ376" s="26">
        <v>340.79999999999995</v>
      </c>
      <c r="AK376" s="26">
        <v>4640.8999999999996</v>
      </c>
    </row>
    <row r="379" spans="1:37" x14ac:dyDescent="0.25">
      <c r="G379" s="26"/>
    </row>
  </sheetData>
  <phoneticPr fontId="2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AM38"/>
  <sheetViews>
    <sheetView topLeftCell="T23" zoomScaleNormal="100" workbookViewId="0">
      <selection activeCell="AF11" sqref="AF11"/>
    </sheetView>
  </sheetViews>
  <sheetFormatPr defaultRowHeight="15" x14ac:dyDescent="0.25"/>
  <cols>
    <col min="2" max="3" width="0.5703125" customWidth="1"/>
    <col min="4" max="4" width="17.85546875" bestFit="1" customWidth="1"/>
    <col min="5" max="5" width="12.42578125" customWidth="1"/>
    <col min="6" max="6" width="0.85546875" customWidth="1"/>
    <col min="7" max="7" width="8.7109375" hidden="1" customWidth="1"/>
    <col min="9" max="9" width="30.7109375" bestFit="1" customWidth="1"/>
    <col min="10" max="10" width="31.5703125" customWidth="1"/>
    <col min="11" max="11" width="39.42578125" customWidth="1"/>
    <col min="12" max="12" width="8.7109375" customWidth="1"/>
    <col min="13" max="13" width="0.28515625" customWidth="1"/>
    <col min="14" max="14" width="0.140625" customWidth="1"/>
    <col min="15" max="15" width="8.7109375" hidden="1" customWidth="1"/>
    <col min="17" max="17" width="30.7109375" bestFit="1" customWidth="1"/>
    <col min="18" max="18" width="34.85546875" bestFit="1" customWidth="1"/>
    <col min="20" max="20" width="0.85546875" customWidth="1"/>
    <col min="21" max="21" width="8.7109375" hidden="1" customWidth="1"/>
    <col min="23" max="23" width="30.7109375" bestFit="1" customWidth="1"/>
    <col min="24" max="24" width="39.5703125" bestFit="1" customWidth="1"/>
    <col min="25" max="25" width="8.7109375" customWidth="1"/>
    <col min="26" max="26" width="1.28515625" customWidth="1"/>
    <col min="28" max="28" width="0.5703125" customWidth="1"/>
    <col min="29" max="29" width="0.42578125" hidden="1" customWidth="1"/>
    <col min="30" max="30" width="8.7109375" hidden="1" customWidth="1"/>
  </cols>
  <sheetData>
    <row r="4" spans="4:39" ht="23.25" x14ac:dyDescent="0.35">
      <c r="Q4" s="161" t="s">
        <v>94</v>
      </c>
      <c r="R4" s="161"/>
      <c r="W4" s="167" t="s">
        <v>82</v>
      </c>
      <c r="X4" s="167"/>
      <c r="Y4" s="167"/>
      <c r="AE4" s="164" t="s">
        <v>229</v>
      </c>
      <c r="AF4" s="164"/>
      <c r="AG4" s="164"/>
      <c r="AH4" s="164"/>
      <c r="AI4" s="164"/>
      <c r="AJ4" s="164"/>
      <c r="AK4" s="164"/>
      <c r="AL4" s="164"/>
      <c r="AM4" s="164"/>
    </row>
    <row r="5" spans="4:39" ht="15.75" x14ac:dyDescent="0.25">
      <c r="D5" s="4" t="s">
        <v>51</v>
      </c>
      <c r="E5" s="4" t="s">
        <v>52</v>
      </c>
      <c r="I5" s="4" t="s">
        <v>54</v>
      </c>
      <c r="J5" s="4" t="s">
        <v>55</v>
      </c>
      <c r="K5" s="4" t="s">
        <v>56</v>
      </c>
      <c r="Q5" s="4" t="s">
        <v>54</v>
      </c>
      <c r="R5" s="3" t="s">
        <v>59</v>
      </c>
    </row>
    <row r="6" spans="4:39" ht="15.75" x14ac:dyDescent="0.25">
      <c r="D6" s="5" t="s">
        <v>53</v>
      </c>
      <c r="E6" s="5">
        <v>123</v>
      </c>
      <c r="I6" s="35" t="s">
        <v>0</v>
      </c>
      <c r="J6" s="101" t="s">
        <v>190</v>
      </c>
      <c r="K6" s="102" t="s">
        <v>60</v>
      </c>
      <c r="Q6" s="35" t="s">
        <v>0</v>
      </c>
      <c r="R6" s="80" t="s">
        <v>0</v>
      </c>
      <c r="W6" s="3" t="s">
        <v>54</v>
      </c>
      <c r="X6" s="4" t="s">
        <v>56</v>
      </c>
      <c r="Y6" s="4" t="s">
        <v>83</v>
      </c>
      <c r="AE6" s="3" t="s">
        <v>84</v>
      </c>
      <c r="AF6" s="3"/>
      <c r="AG6" s="3"/>
      <c r="AH6" s="3"/>
      <c r="AI6" s="3"/>
      <c r="AJ6" s="3"/>
      <c r="AK6" s="3"/>
    </row>
    <row r="7" spans="4:39" x14ac:dyDescent="0.25">
      <c r="I7" s="35" t="s">
        <v>1</v>
      </c>
      <c r="J7" s="101" t="s">
        <v>192</v>
      </c>
      <c r="K7" s="102" t="s">
        <v>61</v>
      </c>
      <c r="Q7" s="35" t="s">
        <v>1</v>
      </c>
      <c r="R7" s="80" t="s">
        <v>1</v>
      </c>
      <c r="W7" s="39" t="s">
        <v>3</v>
      </c>
      <c r="X7" s="104" t="s">
        <v>122</v>
      </c>
      <c r="Y7" s="105" t="s">
        <v>118</v>
      </c>
      <c r="AE7" s="60"/>
      <c r="AF7" s="60"/>
      <c r="AG7" s="60"/>
      <c r="AH7" s="60"/>
      <c r="AI7" s="60"/>
      <c r="AJ7" s="60"/>
      <c r="AK7" s="60"/>
      <c r="AL7" s="60"/>
    </row>
    <row r="8" spans="4:39" x14ac:dyDescent="0.25">
      <c r="I8" s="35" t="s">
        <v>2</v>
      </c>
      <c r="J8" s="101" t="s">
        <v>193</v>
      </c>
      <c r="K8" s="102" t="s">
        <v>2</v>
      </c>
      <c r="Q8" s="35" t="s">
        <v>2</v>
      </c>
      <c r="R8" s="80" t="s">
        <v>2</v>
      </c>
      <c r="W8" s="39" t="s">
        <v>4</v>
      </c>
      <c r="X8" s="104" t="s">
        <v>122</v>
      </c>
      <c r="Y8" s="105" t="s">
        <v>118</v>
      </c>
      <c r="AE8" s="163" t="s">
        <v>227</v>
      </c>
      <c r="AF8" s="163"/>
      <c r="AG8" s="163"/>
      <c r="AH8" s="163"/>
      <c r="AI8" s="163"/>
      <c r="AJ8" s="163"/>
      <c r="AK8" s="163"/>
      <c r="AL8" s="163"/>
    </row>
    <row r="9" spans="4:39" x14ac:dyDescent="0.25">
      <c r="I9" s="35" t="s">
        <v>3</v>
      </c>
      <c r="J9" s="101" t="s">
        <v>191</v>
      </c>
      <c r="K9" s="103" t="s">
        <v>202</v>
      </c>
      <c r="Q9" s="81" t="s">
        <v>3</v>
      </c>
      <c r="R9" s="168" t="s">
        <v>30</v>
      </c>
      <c r="W9" s="39" t="s">
        <v>5</v>
      </c>
      <c r="X9" s="104" t="s">
        <v>122</v>
      </c>
      <c r="Y9" s="105" t="s">
        <v>118</v>
      </c>
    </row>
    <row r="10" spans="4:39" x14ac:dyDescent="0.25">
      <c r="I10" s="35" t="s">
        <v>4</v>
      </c>
      <c r="J10" s="101" t="s">
        <v>191</v>
      </c>
      <c r="K10" s="103" t="s">
        <v>203</v>
      </c>
      <c r="Q10" s="81" t="s">
        <v>4</v>
      </c>
      <c r="R10" s="168"/>
      <c r="W10" s="39" t="s">
        <v>6</v>
      </c>
      <c r="X10" s="104" t="s">
        <v>122</v>
      </c>
      <c r="Y10" s="105" t="s">
        <v>118</v>
      </c>
      <c r="AE10" s="163" t="s">
        <v>228</v>
      </c>
      <c r="AF10" s="163"/>
      <c r="AG10" s="163"/>
      <c r="AH10" s="163"/>
      <c r="AI10" s="163"/>
      <c r="AJ10" s="163"/>
      <c r="AK10" s="163"/>
      <c r="AL10" s="163"/>
    </row>
    <row r="11" spans="4:39" x14ac:dyDescent="0.25">
      <c r="I11" s="35" t="s">
        <v>5</v>
      </c>
      <c r="J11" s="101" t="s">
        <v>191</v>
      </c>
      <c r="K11" s="103" t="s">
        <v>200</v>
      </c>
      <c r="Q11" s="81" t="s">
        <v>5</v>
      </c>
      <c r="R11" s="168"/>
      <c r="W11" s="39" t="s">
        <v>7</v>
      </c>
      <c r="X11" s="104" t="s">
        <v>122</v>
      </c>
      <c r="Y11" s="105" t="s">
        <v>118</v>
      </c>
    </row>
    <row r="12" spans="4:39" x14ac:dyDescent="0.25">
      <c r="I12" s="35" t="s">
        <v>6</v>
      </c>
      <c r="J12" s="101" t="s">
        <v>191</v>
      </c>
      <c r="K12" s="103" t="s">
        <v>201</v>
      </c>
      <c r="Q12" s="81" t="s">
        <v>6</v>
      </c>
      <c r="R12" s="168"/>
      <c r="W12" s="39" t="s">
        <v>8</v>
      </c>
      <c r="X12" s="104" t="s">
        <v>122</v>
      </c>
      <c r="Y12" s="105" t="s">
        <v>118</v>
      </c>
    </row>
    <row r="13" spans="4:39" x14ac:dyDescent="0.25">
      <c r="I13" s="35" t="s">
        <v>7</v>
      </c>
      <c r="J13" s="101" t="s">
        <v>191</v>
      </c>
      <c r="K13" s="103" t="s">
        <v>204</v>
      </c>
      <c r="Q13" s="81" t="s">
        <v>7</v>
      </c>
      <c r="R13" s="168"/>
      <c r="W13" s="39" t="s">
        <v>9</v>
      </c>
      <c r="X13" s="104" t="s">
        <v>122</v>
      </c>
      <c r="Y13" s="105" t="s">
        <v>118</v>
      </c>
    </row>
    <row r="14" spans="4:39" x14ac:dyDescent="0.25">
      <c r="I14" s="35" t="s">
        <v>8</v>
      </c>
      <c r="J14" s="101" t="s">
        <v>191</v>
      </c>
      <c r="K14" s="103" t="s">
        <v>205</v>
      </c>
      <c r="Q14" s="81" t="s">
        <v>8</v>
      </c>
      <c r="R14" s="168"/>
      <c r="W14" s="39" t="s">
        <v>10</v>
      </c>
      <c r="X14" s="104" t="s">
        <v>122</v>
      </c>
      <c r="Y14" s="105" t="s">
        <v>118</v>
      </c>
    </row>
    <row r="15" spans="4:39" x14ac:dyDescent="0.25">
      <c r="I15" s="35" t="s">
        <v>9</v>
      </c>
      <c r="J15" s="101" t="s">
        <v>191</v>
      </c>
      <c r="K15" s="103" t="s">
        <v>206</v>
      </c>
      <c r="Q15" s="81" t="s">
        <v>9</v>
      </c>
      <c r="R15" s="168"/>
      <c r="W15" s="39" t="s">
        <v>11</v>
      </c>
      <c r="X15" s="104" t="s">
        <v>122</v>
      </c>
      <c r="Y15" s="105" t="s">
        <v>118</v>
      </c>
    </row>
    <row r="16" spans="4:39" x14ac:dyDescent="0.25">
      <c r="I16" s="35" t="s">
        <v>10</v>
      </c>
      <c r="J16" s="101" t="s">
        <v>191</v>
      </c>
      <c r="K16" s="103" t="s">
        <v>207</v>
      </c>
      <c r="Q16" s="81" t="s">
        <v>10</v>
      </c>
      <c r="R16" s="168"/>
      <c r="W16" s="39" t="s">
        <v>12</v>
      </c>
      <c r="X16" s="104" t="s">
        <v>122</v>
      </c>
      <c r="Y16" s="105" t="s">
        <v>118</v>
      </c>
    </row>
    <row r="17" spans="9:25" x14ac:dyDescent="0.25">
      <c r="I17" s="35" t="s">
        <v>11</v>
      </c>
      <c r="J17" s="101" t="s">
        <v>191</v>
      </c>
      <c r="K17" s="103" t="s">
        <v>208</v>
      </c>
      <c r="Q17" s="81" t="s">
        <v>11</v>
      </c>
      <c r="R17" s="168"/>
      <c r="W17" s="39" t="s">
        <v>13</v>
      </c>
      <c r="X17" s="104" t="s">
        <v>122</v>
      </c>
      <c r="Y17" s="105" t="s">
        <v>118</v>
      </c>
    </row>
    <row r="18" spans="9:25" x14ac:dyDescent="0.25">
      <c r="I18" s="35" t="s">
        <v>12</v>
      </c>
      <c r="J18" s="101" t="s">
        <v>191</v>
      </c>
      <c r="K18" s="103" t="s">
        <v>209</v>
      </c>
      <c r="Q18" s="81" t="s">
        <v>12</v>
      </c>
      <c r="R18" s="168"/>
      <c r="W18" s="39" t="s">
        <v>14</v>
      </c>
      <c r="X18" s="104" t="s">
        <v>122</v>
      </c>
      <c r="Y18" s="105" t="s">
        <v>118</v>
      </c>
    </row>
    <row r="19" spans="9:25" x14ac:dyDescent="0.25">
      <c r="I19" s="35" t="s">
        <v>13</v>
      </c>
      <c r="J19" s="101" t="s">
        <v>191</v>
      </c>
      <c r="K19" s="103" t="s">
        <v>210</v>
      </c>
      <c r="Q19" s="81" t="s">
        <v>13</v>
      </c>
      <c r="R19" s="168"/>
      <c r="W19" s="39" t="s">
        <v>15</v>
      </c>
      <c r="X19" s="104" t="s">
        <v>122</v>
      </c>
      <c r="Y19" s="105" t="s">
        <v>118</v>
      </c>
    </row>
    <row r="20" spans="9:25" ht="30" x14ac:dyDescent="0.25">
      <c r="I20" s="35" t="s">
        <v>14</v>
      </c>
      <c r="J20" s="101" t="s">
        <v>191</v>
      </c>
      <c r="K20" s="103" t="s">
        <v>211</v>
      </c>
      <c r="Q20" s="81" t="s">
        <v>14</v>
      </c>
      <c r="R20" s="168"/>
      <c r="W20" s="39" t="s">
        <v>16</v>
      </c>
      <c r="X20" s="104" t="s">
        <v>122</v>
      </c>
      <c r="Y20" s="105" t="s">
        <v>118</v>
      </c>
    </row>
    <row r="21" spans="9:25" x14ac:dyDescent="0.25">
      <c r="I21" s="35" t="s">
        <v>15</v>
      </c>
      <c r="J21" s="101" t="s">
        <v>191</v>
      </c>
      <c r="K21" s="103" t="s">
        <v>212</v>
      </c>
      <c r="Q21" s="81" t="s">
        <v>15</v>
      </c>
      <c r="R21" s="168"/>
      <c r="W21" s="39" t="s">
        <v>17</v>
      </c>
      <c r="X21" s="104" t="s">
        <v>122</v>
      </c>
      <c r="Y21" s="105" t="s">
        <v>118</v>
      </c>
    </row>
    <row r="22" spans="9:25" ht="30" x14ac:dyDescent="0.25">
      <c r="I22" s="35" t="s">
        <v>16</v>
      </c>
      <c r="J22" s="101" t="s">
        <v>191</v>
      </c>
      <c r="K22" s="103" t="s">
        <v>213</v>
      </c>
      <c r="Q22" s="29" t="s">
        <v>16</v>
      </c>
      <c r="R22" s="29" t="s">
        <v>16</v>
      </c>
      <c r="W22" s="39" t="s">
        <v>18</v>
      </c>
      <c r="X22" s="104" t="s">
        <v>122</v>
      </c>
      <c r="Y22" s="105" t="s">
        <v>118</v>
      </c>
    </row>
    <row r="23" spans="9:25" x14ac:dyDescent="0.25">
      <c r="I23" s="35" t="s">
        <v>17</v>
      </c>
      <c r="J23" s="101" t="s">
        <v>191</v>
      </c>
      <c r="K23" s="103" t="s">
        <v>214</v>
      </c>
      <c r="Q23" s="82" t="s">
        <v>17</v>
      </c>
      <c r="R23" s="169" t="s">
        <v>50</v>
      </c>
      <c r="W23" s="39" t="s">
        <v>19</v>
      </c>
      <c r="X23" s="104" t="s">
        <v>122</v>
      </c>
      <c r="Y23" s="105" t="s">
        <v>118</v>
      </c>
    </row>
    <row r="24" spans="9:25" x14ac:dyDescent="0.25">
      <c r="I24" s="35" t="s">
        <v>18</v>
      </c>
      <c r="J24" s="101" t="s">
        <v>191</v>
      </c>
      <c r="K24" s="103" t="s">
        <v>215</v>
      </c>
      <c r="Q24" s="82" t="s">
        <v>18</v>
      </c>
      <c r="R24" s="169"/>
      <c r="W24" s="39" t="s">
        <v>20</v>
      </c>
      <c r="X24" s="104" t="s">
        <v>123</v>
      </c>
      <c r="Y24" s="105" t="s">
        <v>118</v>
      </c>
    </row>
    <row r="25" spans="9:25" x14ac:dyDescent="0.25">
      <c r="I25" s="35" t="s">
        <v>19</v>
      </c>
      <c r="J25" s="101" t="s">
        <v>191</v>
      </c>
      <c r="K25" s="103" t="s">
        <v>216</v>
      </c>
      <c r="Q25" s="82" t="s">
        <v>19</v>
      </c>
      <c r="R25" s="169"/>
      <c r="W25" s="39" t="s">
        <v>21</v>
      </c>
      <c r="X25" s="104" t="s">
        <v>122</v>
      </c>
      <c r="Y25" s="105" t="s">
        <v>118</v>
      </c>
    </row>
    <row r="26" spans="9:25" x14ac:dyDescent="0.25">
      <c r="I26" s="35" t="s">
        <v>20</v>
      </c>
      <c r="J26" s="101" t="s">
        <v>191</v>
      </c>
      <c r="K26" s="103" t="s">
        <v>217</v>
      </c>
      <c r="Q26" s="83" t="s">
        <v>20</v>
      </c>
      <c r="R26" s="170" t="s">
        <v>57</v>
      </c>
      <c r="W26" s="39" t="s">
        <v>22</v>
      </c>
      <c r="X26" s="104" t="s">
        <v>122</v>
      </c>
      <c r="Y26" s="105" t="s">
        <v>118</v>
      </c>
    </row>
    <row r="27" spans="9:25" x14ac:dyDescent="0.25">
      <c r="I27" s="35" t="s">
        <v>21</v>
      </c>
      <c r="J27" s="101" t="s">
        <v>191</v>
      </c>
      <c r="K27" s="103" t="s">
        <v>218</v>
      </c>
      <c r="Q27" s="83" t="s">
        <v>21</v>
      </c>
      <c r="R27" s="170"/>
      <c r="W27" s="39" t="s">
        <v>23</v>
      </c>
      <c r="X27" s="104" t="s">
        <v>122</v>
      </c>
      <c r="Y27" s="105" t="s">
        <v>118</v>
      </c>
    </row>
    <row r="28" spans="9:25" ht="30" x14ac:dyDescent="0.25">
      <c r="I28" s="35" t="s">
        <v>22</v>
      </c>
      <c r="J28" s="101" t="s">
        <v>191</v>
      </c>
      <c r="K28" s="103" t="s">
        <v>219</v>
      </c>
      <c r="Q28" s="83" t="s">
        <v>22</v>
      </c>
      <c r="R28" s="170"/>
      <c r="W28" s="39" t="s">
        <v>27</v>
      </c>
      <c r="X28" s="104" t="s">
        <v>122</v>
      </c>
      <c r="Y28" s="105" t="s">
        <v>118</v>
      </c>
    </row>
    <row r="29" spans="9:25" x14ac:dyDescent="0.25">
      <c r="I29" s="35" t="s">
        <v>23</v>
      </c>
      <c r="J29" s="101" t="s">
        <v>191</v>
      </c>
      <c r="K29" s="103" t="s">
        <v>220</v>
      </c>
      <c r="Q29" s="84" t="s">
        <v>23</v>
      </c>
      <c r="R29" s="165" t="s">
        <v>58</v>
      </c>
      <c r="W29" s="39" t="s">
        <v>24</v>
      </c>
      <c r="X29" s="104" t="s">
        <v>122</v>
      </c>
      <c r="Y29" s="105" t="s">
        <v>118</v>
      </c>
    </row>
    <row r="30" spans="9:25" x14ac:dyDescent="0.25">
      <c r="I30" s="35" t="s">
        <v>27</v>
      </c>
      <c r="J30" s="101" t="s">
        <v>191</v>
      </c>
      <c r="K30" s="103" t="s">
        <v>221</v>
      </c>
      <c r="Q30" s="84" t="s">
        <v>27</v>
      </c>
      <c r="R30" s="165"/>
      <c r="W30" s="39" t="s">
        <v>26</v>
      </c>
      <c r="X30" s="104" t="s">
        <v>122</v>
      </c>
      <c r="Y30" s="105" t="s">
        <v>118</v>
      </c>
    </row>
    <row r="31" spans="9:25" ht="30" x14ac:dyDescent="0.25">
      <c r="I31" s="35" t="s">
        <v>24</v>
      </c>
      <c r="J31" s="101" t="s">
        <v>191</v>
      </c>
      <c r="K31" s="103" t="s">
        <v>222</v>
      </c>
      <c r="Q31" s="85" t="s">
        <v>24</v>
      </c>
      <c r="R31" s="85" t="s">
        <v>24</v>
      </c>
      <c r="W31" s="39" t="s">
        <v>25</v>
      </c>
      <c r="X31" s="104" t="s">
        <v>122</v>
      </c>
      <c r="Y31" s="105" t="s">
        <v>118</v>
      </c>
    </row>
    <row r="32" spans="9:25" x14ac:dyDescent="0.25">
      <c r="I32" s="35" t="s">
        <v>26</v>
      </c>
      <c r="J32" s="101" t="s">
        <v>191</v>
      </c>
      <c r="K32" s="103" t="s">
        <v>223</v>
      </c>
      <c r="Q32" s="86" t="s">
        <v>26</v>
      </c>
      <c r="R32" s="87" t="s">
        <v>26</v>
      </c>
      <c r="W32" s="39" t="s">
        <v>28</v>
      </c>
      <c r="X32" s="104" t="s">
        <v>122</v>
      </c>
      <c r="Y32" s="105" t="s">
        <v>118</v>
      </c>
    </row>
    <row r="33" spans="9:25" x14ac:dyDescent="0.25">
      <c r="I33" s="35" t="s">
        <v>25</v>
      </c>
      <c r="J33" s="101" t="s">
        <v>191</v>
      </c>
      <c r="K33" s="103" t="s">
        <v>224</v>
      </c>
      <c r="Q33" s="88" t="s">
        <v>25</v>
      </c>
      <c r="R33" s="166" t="s">
        <v>65</v>
      </c>
      <c r="W33" s="39" t="s">
        <v>29</v>
      </c>
      <c r="X33" s="104" t="s">
        <v>121</v>
      </c>
      <c r="Y33" s="105" t="s">
        <v>118</v>
      </c>
    </row>
    <row r="34" spans="9:25" x14ac:dyDescent="0.25">
      <c r="I34" s="35" t="s">
        <v>28</v>
      </c>
      <c r="J34" s="101" t="s">
        <v>191</v>
      </c>
      <c r="K34" s="103" t="s">
        <v>225</v>
      </c>
      <c r="Q34" s="88" t="s">
        <v>28</v>
      </c>
      <c r="R34" s="166"/>
      <c r="W34" s="39" t="s">
        <v>85</v>
      </c>
      <c r="X34" s="104" t="s">
        <v>120</v>
      </c>
      <c r="Y34" s="105" t="s">
        <v>118</v>
      </c>
    </row>
    <row r="35" spans="9:25" ht="30" x14ac:dyDescent="0.25">
      <c r="I35" s="35" t="s">
        <v>29</v>
      </c>
      <c r="J35" s="101" t="s">
        <v>191</v>
      </c>
      <c r="K35" s="103" t="s">
        <v>226</v>
      </c>
      <c r="Q35" s="89" t="s">
        <v>29</v>
      </c>
      <c r="R35" s="89" t="s">
        <v>29</v>
      </c>
      <c r="W35" s="39" t="s">
        <v>88</v>
      </c>
      <c r="X35" s="104" t="s">
        <v>124</v>
      </c>
      <c r="Y35" s="105" t="s">
        <v>118</v>
      </c>
    </row>
    <row r="36" spans="9:25" ht="30" x14ac:dyDescent="0.25">
      <c r="I36" s="94" t="s">
        <v>88</v>
      </c>
      <c r="J36" s="101" t="s">
        <v>194</v>
      </c>
      <c r="K36" s="103" t="s">
        <v>195</v>
      </c>
      <c r="W36" s="39" t="s">
        <v>0</v>
      </c>
      <c r="X36" s="104" t="s">
        <v>119</v>
      </c>
      <c r="Y36" s="105" t="s">
        <v>118</v>
      </c>
    </row>
    <row r="37" spans="9:25" x14ac:dyDescent="0.25">
      <c r="W37" s="39" t="s">
        <v>1</v>
      </c>
      <c r="X37" s="104" t="s">
        <v>119</v>
      </c>
      <c r="Y37" s="105" t="s">
        <v>118</v>
      </c>
    </row>
    <row r="38" spans="9:25" x14ac:dyDescent="0.25">
      <c r="W38" s="39" t="s">
        <v>2</v>
      </c>
      <c r="X38" s="104" t="s">
        <v>119</v>
      </c>
      <c r="Y38" s="105" t="s">
        <v>118</v>
      </c>
    </row>
  </sheetData>
  <mergeCells count="10">
    <mergeCell ref="AE8:AL8"/>
    <mergeCell ref="AE10:AL10"/>
    <mergeCell ref="AE4:AM4"/>
    <mergeCell ref="R29:R30"/>
    <mergeCell ref="R33:R34"/>
    <mergeCell ref="W4:Y4"/>
    <mergeCell ref="R9:R21"/>
    <mergeCell ref="R23:R25"/>
    <mergeCell ref="R26:R28"/>
    <mergeCell ref="Q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K8"/>
  <sheetViews>
    <sheetView topLeftCell="BR2" workbookViewId="0">
      <selection activeCell="B8" sqref="B8:C8"/>
    </sheetView>
  </sheetViews>
  <sheetFormatPr defaultRowHeight="15" x14ac:dyDescent="0.25"/>
  <cols>
    <col min="1" max="1" width="3.5703125" customWidth="1"/>
    <col min="19" max="19" width="8.5703125" customWidth="1"/>
    <col min="39" max="39" width="7.140625" customWidth="1"/>
    <col min="54" max="54" width="7.5703125" customWidth="1"/>
    <col min="56" max="56" width="21.42578125" customWidth="1"/>
  </cols>
  <sheetData>
    <row r="4" spans="2:89" ht="23.25" x14ac:dyDescent="0.35">
      <c r="B4" s="96" t="s">
        <v>89</v>
      </c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7"/>
      <c r="Q4" s="97"/>
      <c r="R4" s="95"/>
      <c r="S4" s="95"/>
      <c r="T4" s="95"/>
      <c r="U4" s="161" t="s">
        <v>90</v>
      </c>
      <c r="V4" s="161"/>
      <c r="W4" s="161"/>
      <c r="X4" s="161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95"/>
      <c r="AN4" s="161" t="s">
        <v>110</v>
      </c>
      <c r="AO4" s="161"/>
      <c r="AP4" s="161"/>
      <c r="AQ4" s="161"/>
      <c r="AR4" s="161"/>
      <c r="AS4" s="161"/>
      <c r="AT4" s="161"/>
      <c r="AU4" s="161"/>
      <c r="AV4" s="161"/>
      <c r="AW4" s="161"/>
      <c r="AX4" s="161"/>
      <c r="AY4" s="161"/>
      <c r="AZ4" s="161"/>
      <c r="BA4" s="161"/>
      <c r="BB4" s="161"/>
      <c r="BC4" s="161"/>
      <c r="BD4" s="161"/>
      <c r="BE4" s="95"/>
      <c r="BF4" s="161" t="s">
        <v>111</v>
      </c>
      <c r="BG4" s="161"/>
      <c r="BH4" s="161"/>
      <c r="BI4" s="161"/>
      <c r="BJ4" s="161"/>
      <c r="BK4" s="161"/>
      <c r="BL4" s="161"/>
      <c r="BM4" s="161"/>
      <c r="BN4" s="161"/>
      <c r="BO4" s="161"/>
      <c r="BP4" s="161"/>
      <c r="BQ4" s="161"/>
      <c r="BR4" s="161"/>
      <c r="BS4" s="161"/>
      <c r="BT4" s="161"/>
      <c r="BU4" s="161"/>
      <c r="BV4" s="161"/>
      <c r="BW4" s="161"/>
      <c r="BY4" s="155" t="s">
        <v>198</v>
      </c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</row>
    <row r="5" spans="2:89" ht="15.75" x14ac:dyDescent="0.25">
      <c r="B5" s="159" t="s">
        <v>62</v>
      </c>
      <c r="C5" s="160"/>
      <c r="D5" s="160"/>
      <c r="E5" s="160"/>
      <c r="F5" s="160"/>
      <c r="G5" s="160"/>
      <c r="H5" s="160"/>
      <c r="W5" s="98" t="s">
        <v>91</v>
      </c>
      <c r="X5" s="99"/>
      <c r="Y5" s="99"/>
      <c r="Z5" s="99"/>
      <c r="AA5" s="99"/>
      <c r="AB5" s="99"/>
      <c r="AC5" s="99"/>
      <c r="AD5" s="99"/>
      <c r="AE5" s="99"/>
      <c r="AF5" s="99"/>
      <c r="AG5" s="91"/>
      <c r="AO5" s="99" t="s">
        <v>196</v>
      </c>
      <c r="AP5" s="99"/>
      <c r="AQ5" s="99"/>
      <c r="AR5" s="99"/>
      <c r="AS5" s="99"/>
      <c r="AT5" s="99"/>
      <c r="AU5" s="99"/>
      <c r="AV5" s="99"/>
      <c r="AW5" s="99"/>
      <c r="AX5" s="91"/>
      <c r="AY5" s="91"/>
      <c r="BG5" s="100" t="s">
        <v>199</v>
      </c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91"/>
      <c r="BS5" s="91"/>
      <c r="BT5" s="91"/>
      <c r="BU5" s="91"/>
      <c r="BZ5" s="157" t="s">
        <v>230</v>
      </c>
      <c r="CA5" s="157"/>
      <c r="CB5" s="157"/>
      <c r="CC5" s="157"/>
      <c r="CD5" s="157"/>
      <c r="CE5" s="157"/>
      <c r="CF5" s="157"/>
      <c r="CG5" s="157"/>
    </row>
    <row r="6" spans="2:89" ht="15.75" x14ac:dyDescent="0.25">
      <c r="AO6" s="162" t="s">
        <v>197</v>
      </c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BG6" s="158"/>
      <c r="BH6" s="158"/>
      <c r="BI6" s="158"/>
      <c r="BJ6" s="158"/>
      <c r="BK6" s="158"/>
      <c r="BL6" s="158"/>
      <c r="BM6" s="158"/>
    </row>
    <row r="8" spans="2:89" ht="15.75" x14ac:dyDescent="0.25">
      <c r="B8" s="158" t="s">
        <v>63</v>
      </c>
      <c r="C8" s="158"/>
    </row>
  </sheetData>
  <mergeCells count="9">
    <mergeCell ref="BY4:CK4"/>
    <mergeCell ref="BZ5:CG5"/>
    <mergeCell ref="B8:C8"/>
    <mergeCell ref="BG6:BM6"/>
    <mergeCell ref="B5:H5"/>
    <mergeCell ref="U4:AL4"/>
    <mergeCell ref="AN4:BD4"/>
    <mergeCell ref="AO6:AY6"/>
    <mergeCell ref="BF4:B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showGridLines="0" zoomScale="74" zoomScaleNormal="99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26" sqref="M26"/>
    </sheetView>
  </sheetViews>
  <sheetFormatPr defaultRowHeight="15" x14ac:dyDescent="0.25"/>
  <cols>
    <col min="1" max="1" width="11.7109375" customWidth="1"/>
    <col min="2" max="2" width="9" customWidth="1"/>
    <col min="4" max="4" width="11.42578125" customWidth="1"/>
    <col min="5" max="5" width="27.42578125" customWidth="1"/>
    <col min="6" max="6" width="27.85546875" customWidth="1"/>
    <col min="7" max="7" width="15.85546875" bestFit="1" customWidth="1"/>
    <col min="8" max="8" width="19.85546875" customWidth="1"/>
    <col min="9" max="9" width="23.28515625" customWidth="1"/>
    <col min="10" max="10" width="22.5703125" customWidth="1"/>
    <col min="11" max="11" width="38.140625" customWidth="1"/>
  </cols>
  <sheetData>
    <row r="2" spans="2:12" ht="23.25" x14ac:dyDescent="0.35">
      <c r="E2" s="109" t="s">
        <v>231</v>
      </c>
      <c r="F2" s="110"/>
      <c r="G2" s="110"/>
      <c r="H2" s="110"/>
      <c r="I2" s="110"/>
    </row>
    <row r="5" spans="2:12" ht="18.75" x14ac:dyDescent="0.3">
      <c r="D5" s="8"/>
      <c r="E5" s="112" t="s">
        <v>86</v>
      </c>
      <c r="F5" s="112"/>
      <c r="G5" s="112"/>
      <c r="H5" s="112"/>
      <c r="I5" s="112"/>
      <c r="J5" s="112"/>
      <c r="K5" s="112"/>
      <c r="L5" s="112"/>
    </row>
    <row r="6" spans="2:12" x14ac:dyDescent="0.25">
      <c r="B6" s="113" t="s">
        <v>87</v>
      </c>
      <c r="C6" s="5"/>
      <c r="D6" s="7" t="s">
        <v>26</v>
      </c>
      <c r="E6" s="12" t="s">
        <v>16</v>
      </c>
      <c r="F6" s="9" t="s">
        <v>24</v>
      </c>
      <c r="G6" s="9" t="s">
        <v>30</v>
      </c>
      <c r="H6" s="9" t="s">
        <v>50</v>
      </c>
      <c r="I6" s="9" t="s">
        <v>57</v>
      </c>
      <c r="J6" s="9" t="s">
        <v>58</v>
      </c>
      <c r="K6" s="9" t="s">
        <v>64</v>
      </c>
      <c r="L6" s="9" t="s">
        <v>85</v>
      </c>
    </row>
    <row r="7" spans="2:12" ht="14.45" customHeight="1" x14ac:dyDescent="0.25">
      <c r="B7" s="113"/>
      <c r="C7" s="10" t="s">
        <v>39</v>
      </c>
      <c r="D7" s="5">
        <v>180.3</v>
      </c>
      <c r="E7" s="11">
        <v>199.9</v>
      </c>
      <c r="F7" s="11">
        <v>169.7</v>
      </c>
      <c r="G7" s="11">
        <v>2290.7000000000007</v>
      </c>
      <c r="H7" s="11">
        <v>569.90000000000009</v>
      </c>
      <c r="I7" s="11">
        <v>362.3</v>
      </c>
      <c r="J7" s="11">
        <v>372.70000000000005</v>
      </c>
      <c r="K7" s="11">
        <v>353.3</v>
      </c>
      <c r="L7" s="5">
        <v>4498.8000000000011</v>
      </c>
    </row>
    <row r="8" spans="2:12" x14ac:dyDescent="0.25">
      <c r="B8" s="113"/>
      <c r="C8" s="10" t="s">
        <v>39</v>
      </c>
      <c r="D8" s="5">
        <v>174.8</v>
      </c>
      <c r="E8" s="11">
        <v>204.2</v>
      </c>
      <c r="F8" s="11">
        <v>160.4</v>
      </c>
      <c r="G8" s="11">
        <v>2335.1</v>
      </c>
      <c r="H8" s="11">
        <v>528.70000000000005</v>
      </c>
      <c r="I8" s="11">
        <v>529.1</v>
      </c>
      <c r="J8" s="11">
        <v>367.79999999999995</v>
      </c>
      <c r="K8" s="11">
        <v>340.79999999999995</v>
      </c>
      <c r="L8" s="5">
        <v>4640.8999999999996</v>
      </c>
    </row>
    <row r="9" spans="2:12" x14ac:dyDescent="0.25">
      <c r="B9" s="113"/>
      <c r="C9" s="10" t="s">
        <v>39</v>
      </c>
      <c r="D9" s="5">
        <v>177.1</v>
      </c>
      <c r="E9" s="11">
        <v>201</v>
      </c>
      <c r="F9" s="11">
        <v>164.8</v>
      </c>
      <c r="G9" s="11">
        <v>2306.9</v>
      </c>
      <c r="H9" s="11">
        <v>553.20000000000005</v>
      </c>
      <c r="I9" s="11">
        <v>533.59999999999991</v>
      </c>
      <c r="J9" s="11">
        <v>370.9</v>
      </c>
      <c r="K9" s="11">
        <v>346.9</v>
      </c>
      <c r="L9" s="5">
        <v>4654.3999999999996</v>
      </c>
    </row>
    <row r="14" spans="2:12" ht="18.75" x14ac:dyDescent="0.3">
      <c r="D14" s="8"/>
      <c r="E14" s="112" t="s">
        <v>86</v>
      </c>
      <c r="F14" s="112"/>
      <c r="G14" s="112"/>
      <c r="H14" s="112"/>
      <c r="I14" s="112"/>
      <c r="J14" s="112"/>
      <c r="K14" s="112"/>
      <c r="L14" s="112"/>
    </row>
    <row r="15" spans="2:12" x14ac:dyDescent="0.25">
      <c r="B15" s="113" t="s">
        <v>87</v>
      </c>
      <c r="C15" s="5"/>
      <c r="D15" s="9" t="s">
        <v>26</v>
      </c>
      <c r="E15" s="9" t="s">
        <v>16</v>
      </c>
      <c r="F15" s="9" t="s">
        <v>24</v>
      </c>
      <c r="G15" s="9" t="s">
        <v>30</v>
      </c>
      <c r="H15" s="9" t="s">
        <v>50</v>
      </c>
      <c r="I15" s="9" t="s">
        <v>57</v>
      </c>
      <c r="J15" s="9" t="s">
        <v>58</v>
      </c>
      <c r="K15" s="9" t="s">
        <v>64</v>
      </c>
      <c r="L15" s="9" t="s">
        <v>85</v>
      </c>
    </row>
    <row r="16" spans="2:12" x14ac:dyDescent="0.25">
      <c r="B16" s="113"/>
      <c r="C16" s="10" t="s">
        <v>39</v>
      </c>
      <c r="D16" s="14">
        <f>D7/$L7</f>
        <v>4.0077353961056272E-2</v>
      </c>
      <c r="E16" s="13">
        <v>4.4434071307904319E-2</v>
      </c>
      <c r="F16" s="13">
        <v>3.7721170089801713E-2</v>
      </c>
      <c r="G16" s="13">
        <v>0.50918022583800127</v>
      </c>
      <c r="H16" s="13">
        <v>0.12667822530452563</v>
      </c>
      <c r="I16" s="13">
        <v>8.0532586467502429E-2</v>
      </c>
      <c r="J16" s="13">
        <v>8.2844314039299358E-2</v>
      </c>
      <c r="K16" s="13">
        <v>7.8532052991908935E-2</v>
      </c>
      <c r="L16" s="13">
        <v>1</v>
      </c>
    </row>
    <row r="17" spans="2:12" x14ac:dyDescent="0.25">
      <c r="B17" s="113"/>
      <c r="C17" s="10" t="s">
        <v>39</v>
      </c>
      <c r="D17" s="14">
        <f>D8/$L8</f>
        <v>3.766510806093646E-2</v>
      </c>
      <c r="E17" s="13">
        <f>E8/$L8</f>
        <v>4.4000086190178631E-2</v>
      </c>
      <c r="F17" s="13">
        <v>3.4562261630287236E-2</v>
      </c>
      <c r="G17" s="13">
        <v>0.50315671529229244</v>
      </c>
      <c r="H17" s="13">
        <v>0.1139218686030727</v>
      </c>
      <c r="I17" s="13">
        <v>0.11400805878170184</v>
      </c>
      <c r="J17" s="13">
        <v>7.9251869249499021E-2</v>
      </c>
      <c r="K17" s="13">
        <v>7.343403219203172E-2</v>
      </c>
      <c r="L17" s="13">
        <v>1</v>
      </c>
    </row>
    <row r="18" spans="2:12" x14ac:dyDescent="0.25">
      <c r="B18" s="113"/>
      <c r="C18" s="10" t="s">
        <v>39</v>
      </c>
      <c r="D18" s="14">
        <f>D9/$L9</f>
        <v>3.8050017188037126E-2</v>
      </c>
      <c r="E18" s="13">
        <v>4.3184943279477486E-2</v>
      </c>
      <c r="F18" s="13">
        <v>3.5407356479890004E-2</v>
      </c>
      <c r="G18" s="13">
        <v>0.49563853557923693</v>
      </c>
      <c r="H18" s="13">
        <v>0.11885527672739775</v>
      </c>
      <c r="I18" s="13">
        <v>0.11464420763148847</v>
      </c>
      <c r="J18" s="13">
        <v>7.9688037126160197E-2</v>
      </c>
      <c r="K18" s="13">
        <v>7.4531625988312131E-2</v>
      </c>
      <c r="L18" s="13">
        <v>1</v>
      </c>
    </row>
    <row r="41" spans="5:7" ht="15.75" x14ac:dyDescent="0.25">
      <c r="E41" s="111" t="s">
        <v>232</v>
      </c>
      <c r="F41" s="111"/>
      <c r="G41" s="111"/>
    </row>
  </sheetData>
  <mergeCells count="6">
    <mergeCell ref="E2:I2"/>
    <mergeCell ref="E41:G41"/>
    <mergeCell ref="E5:L5"/>
    <mergeCell ref="B6:B9"/>
    <mergeCell ref="E14:L14"/>
    <mergeCell ref="B15:B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7"/>
  <sheetViews>
    <sheetView showGridLines="0" zoomScale="108" zoomScaleNormal="108" workbookViewId="0">
      <selection activeCell="T5" sqref="T5"/>
    </sheetView>
  </sheetViews>
  <sheetFormatPr defaultRowHeight="15" x14ac:dyDescent="0.25"/>
  <cols>
    <col min="2" max="2" width="6.5703125" customWidth="1"/>
    <col min="4" max="4" width="12.42578125" bestFit="1" customWidth="1"/>
    <col min="5" max="5" width="22.28515625" bestFit="1" customWidth="1"/>
    <col min="6" max="6" width="11.85546875" bestFit="1" customWidth="1"/>
    <col min="7" max="7" width="11.5703125" customWidth="1"/>
    <col min="8" max="8" width="4.7109375" customWidth="1"/>
    <col min="9" max="9" width="10.7109375" customWidth="1"/>
    <col min="10" max="10" width="11.85546875" customWidth="1"/>
    <col min="11" max="11" width="13.42578125" bestFit="1" customWidth="1"/>
    <col min="12" max="12" width="11.85546875" customWidth="1"/>
    <col min="13" max="13" width="8.28515625" customWidth="1"/>
    <col min="14" max="14" width="9.7109375" customWidth="1"/>
    <col min="15" max="15" width="13.42578125" customWidth="1"/>
    <col min="17" max="17" width="11.5703125" customWidth="1"/>
    <col min="18" max="18" width="13" customWidth="1"/>
  </cols>
  <sheetData>
    <row r="1" spans="2:19" ht="21" x14ac:dyDescent="0.35">
      <c r="B1" s="116" t="s">
        <v>188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4" spans="2:19" ht="18.75" x14ac:dyDescent="0.3">
      <c r="B4" s="117" t="s">
        <v>93</v>
      </c>
      <c r="C4" s="117"/>
      <c r="D4" s="117"/>
      <c r="E4" s="117"/>
      <c r="F4" s="117"/>
    </row>
    <row r="5" spans="2:19" ht="18.75" x14ac:dyDescent="0.3">
      <c r="C5" s="118" t="s">
        <v>125</v>
      </c>
      <c r="D5" s="118"/>
      <c r="E5" s="118"/>
      <c r="F5" s="118"/>
      <c r="H5" s="49" t="s">
        <v>1</v>
      </c>
      <c r="I5" s="117" t="s">
        <v>127</v>
      </c>
      <c r="J5" s="117"/>
      <c r="K5" s="117"/>
      <c r="L5" s="117"/>
      <c r="M5" s="117"/>
      <c r="N5" s="117"/>
      <c r="O5" s="117"/>
      <c r="P5" s="117"/>
      <c r="Q5" s="117"/>
    </row>
    <row r="6" spans="2:19" ht="21.95" customHeight="1" x14ac:dyDescent="0.25">
      <c r="C6" s="9" t="s">
        <v>92</v>
      </c>
      <c r="D6" s="9" t="s">
        <v>32</v>
      </c>
      <c r="E6" s="9" t="s">
        <v>47</v>
      </c>
      <c r="F6" s="42" t="s">
        <v>126</v>
      </c>
      <c r="H6" s="120">
        <v>2019</v>
      </c>
      <c r="I6" s="43" t="s">
        <v>87</v>
      </c>
      <c r="J6" s="47" t="s">
        <v>57</v>
      </c>
      <c r="K6" s="47" t="s">
        <v>64</v>
      </c>
      <c r="L6" s="47" t="s">
        <v>58</v>
      </c>
      <c r="M6" s="47" t="s">
        <v>30</v>
      </c>
      <c r="N6" s="47" t="s">
        <v>50</v>
      </c>
      <c r="O6" s="47" t="s">
        <v>16</v>
      </c>
      <c r="P6" s="47" t="s">
        <v>26</v>
      </c>
      <c r="Q6" s="47" t="s">
        <v>24</v>
      </c>
    </row>
    <row r="7" spans="2:19" ht="14.45" customHeight="1" x14ac:dyDescent="0.25">
      <c r="B7" s="119" t="s">
        <v>35</v>
      </c>
      <c r="C7" s="5">
        <v>2017</v>
      </c>
      <c r="D7" s="5">
        <f>SUMIFS(GnrlIndx,year,$C7,month,D$6,sec,"Rural+Urban")</f>
        <v>130.30000000000001</v>
      </c>
      <c r="E7" s="5">
        <f t="shared" ref="D7:E12" si="0">SUMIFS(GnrlIndx,year,$C7,month,E$6,sec,"Rural+Urban")</f>
        <v>137.19999999999999</v>
      </c>
      <c r="F7" s="36">
        <f>(E7-D7)/D7</f>
        <v>5.295471987720627E-2</v>
      </c>
      <c r="H7" s="120"/>
      <c r="I7" s="44" t="s">
        <v>32</v>
      </c>
      <c r="J7" s="48">
        <f>AVERAGEIFS(housing,month,$I7,year,$H$6)</f>
        <v>379.89999999999992</v>
      </c>
      <c r="K7" s="48">
        <f>AVERAGEIFS(miscel,month,$I7,year,$H$6)</f>
        <v>273.9666666666667</v>
      </c>
      <c r="L7" s="48">
        <f>AVERAGEIFS(healthpersnl,month,$I7,year,$H$6)</f>
        <v>276.83333333333331</v>
      </c>
      <c r="M7" s="48">
        <f>AVERAGEIFS(foodB,month,$I7,year,$H$6)</f>
        <v>1752.4333333333334</v>
      </c>
      <c r="N7" s="48">
        <f>AVERAGEIFS(Clothing,month,$I7,year,$H$6)</f>
        <v>431.0333333333333</v>
      </c>
      <c r="O7" s="48">
        <f>AVERAGEIFS(Intoxicants,month,$I7,year,$H$6)</f>
        <v>163.53333333333333</v>
      </c>
      <c r="P7" s="48">
        <f>AVERAGEIFS(edu,month,$I7,year,$H$6)</f>
        <v>150.66666666666666</v>
      </c>
      <c r="Q7" s="48">
        <f>AVERAGEIFS(trans,month,$I7,year,$H$6)</f>
        <v>123.5</v>
      </c>
    </row>
    <row r="8" spans="2:19" x14ac:dyDescent="0.25">
      <c r="B8" s="119"/>
      <c r="C8" s="5">
        <v>2018</v>
      </c>
      <c r="D8" s="5">
        <f t="shared" si="0"/>
        <v>136.9</v>
      </c>
      <c r="E8" s="5">
        <f t="shared" si="0"/>
        <v>140.1</v>
      </c>
      <c r="F8" s="36">
        <f t="shared" ref="F8:F12" si="1">(E8-D8)/D8</f>
        <v>2.3374726077428697E-2</v>
      </c>
      <c r="H8" s="120"/>
      <c r="I8" s="44" t="s">
        <v>47</v>
      </c>
      <c r="J8" s="48">
        <f>AVERAGEIFS(housing,month,$I8,year,$H$6)</f>
        <v>389.86666666666673</v>
      </c>
      <c r="K8" s="48">
        <f>AVERAGEIFS(miscel,month,$I8,year,$H$6)</f>
        <v>285.3</v>
      </c>
      <c r="L8" s="48">
        <f>AVERAGEIFS(healthpersnl,month,$I8,year,$H$6)</f>
        <v>289.86666666666667</v>
      </c>
      <c r="M8" s="48">
        <f>AVERAGEIFS(foodB,month,$I8,year,$H$6)</f>
        <v>1947.9333333333332</v>
      </c>
      <c r="N8" s="48">
        <f>AVERAGEIFS(Clothing,month,$I8,year,$H$6)</f>
        <v>438.86666666666662</v>
      </c>
      <c r="O8" s="48">
        <f>AVERAGEIFS(Intoxicants,month,$I8,year,$H$6)</f>
        <v>168.9</v>
      </c>
      <c r="P8" s="48">
        <f>AVERAGEIFS(edu,month,$I8,year,$H$6)</f>
        <v>156.23333333333332</v>
      </c>
      <c r="Q8" s="48">
        <f>AVERAGEIFS(trans,month,$I8,year,$H$6)</f>
        <v>130</v>
      </c>
    </row>
    <row r="9" spans="2:19" x14ac:dyDescent="0.25">
      <c r="B9" s="119"/>
      <c r="C9" s="5">
        <v>2019</v>
      </c>
      <c r="D9" s="5">
        <f t="shared" si="0"/>
        <v>139.6</v>
      </c>
      <c r="E9" s="5">
        <f t="shared" si="0"/>
        <v>150.4</v>
      </c>
      <c r="F9" s="36">
        <f t="shared" si="1"/>
        <v>7.7363896848137617E-2</v>
      </c>
      <c r="H9" s="120"/>
      <c r="I9" s="45" t="s">
        <v>128</v>
      </c>
      <c r="J9" s="46">
        <f>(J8-J7)/J7</f>
        <v>2.6234974115995822E-2</v>
      </c>
      <c r="K9" s="46">
        <f t="shared" ref="K9:Q9" si="2">(K8-K7)/K7</f>
        <v>4.1367562963864145E-2</v>
      </c>
      <c r="L9" s="46">
        <f t="shared" si="2"/>
        <v>4.7080072245635256E-2</v>
      </c>
      <c r="M9" s="46">
        <f t="shared" si="2"/>
        <v>0.11155916535103556</v>
      </c>
      <c r="N9" s="46">
        <f t="shared" si="2"/>
        <v>1.8173381795684746E-2</v>
      </c>
      <c r="O9" s="46">
        <f t="shared" si="2"/>
        <v>3.2816958825927479E-2</v>
      </c>
      <c r="P9" s="46">
        <f t="shared" si="2"/>
        <v>3.6946902654867234E-2</v>
      </c>
      <c r="Q9" s="46">
        <f t="shared" si="2"/>
        <v>5.2631578947368418E-2</v>
      </c>
    </row>
    <row r="10" spans="2:19" x14ac:dyDescent="0.25">
      <c r="B10" s="119"/>
      <c r="C10" s="5">
        <v>2020</v>
      </c>
      <c r="D10" s="5">
        <f t="shared" si="0"/>
        <v>150.19999999999999</v>
      </c>
      <c r="E10" s="5">
        <f t="shared" si="0"/>
        <v>158.9</v>
      </c>
      <c r="F10" s="36">
        <f t="shared" si="1"/>
        <v>5.7922769640479481E-2</v>
      </c>
    </row>
    <row r="11" spans="2:19" ht="14.1" customHeight="1" x14ac:dyDescent="0.25">
      <c r="B11" s="119"/>
      <c r="C11" s="5">
        <v>2021</v>
      </c>
      <c r="D11" s="5">
        <f t="shared" si="0"/>
        <v>157.30000000000001</v>
      </c>
      <c r="E11" s="5">
        <f t="shared" si="0"/>
        <v>166.2</v>
      </c>
      <c r="F11" s="36">
        <f t="shared" si="1"/>
        <v>5.657978385251098E-2</v>
      </c>
    </row>
    <row r="12" spans="2:19" x14ac:dyDescent="0.25">
      <c r="B12" s="119"/>
      <c r="C12" s="5">
        <v>2022</v>
      </c>
      <c r="D12" s="5">
        <f t="shared" si="0"/>
        <v>165.7</v>
      </c>
      <c r="E12" s="5">
        <f t="shared" si="0"/>
        <v>175.7</v>
      </c>
      <c r="F12" s="36">
        <f t="shared" si="1"/>
        <v>6.0350030175015092E-2</v>
      </c>
    </row>
    <row r="15" spans="2:19" ht="18.75" x14ac:dyDescent="0.3">
      <c r="L15" s="106" t="s">
        <v>234</v>
      </c>
      <c r="M15" s="106"/>
      <c r="N15" s="106"/>
      <c r="O15" s="106"/>
      <c r="P15" s="106"/>
      <c r="Q15" s="106"/>
      <c r="R15" s="106"/>
      <c r="S15" s="106"/>
    </row>
    <row r="16" spans="2:19" ht="18.75" x14ac:dyDescent="0.3">
      <c r="L16" s="114" t="s">
        <v>233</v>
      </c>
      <c r="M16" s="115"/>
      <c r="N16" s="115"/>
      <c r="O16" s="115"/>
      <c r="P16" s="115"/>
      <c r="Q16" s="115"/>
      <c r="R16" s="115"/>
    </row>
    <row r="19" spans="6:9" x14ac:dyDescent="0.25">
      <c r="I19" s="15"/>
    </row>
    <row r="27" spans="6:9" x14ac:dyDescent="0.25">
      <c r="F27" s="6"/>
    </row>
    <row r="28" spans="6:9" x14ac:dyDescent="0.25">
      <c r="F28" s="6"/>
    </row>
    <row r="29" spans="6:9" x14ac:dyDescent="0.25">
      <c r="F29" s="6"/>
    </row>
    <row r="30" spans="6:9" x14ac:dyDescent="0.25">
      <c r="F30" s="6"/>
    </row>
    <row r="31" spans="6:9" x14ac:dyDescent="0.25">
      <c r="F31" s="6"/>
    </row>
    <row r="32" spans="6:9" x14ac:dyDescent="0.25">
      <c r="F32" s="6"/>
    </row>
    <row r="33" spans="6:22" x14ac:dyDescent="0.25">
      <c r="F33" s="6"/>
    </row>
    <row r="36" spans="6:22" x14ac:dyDescent="0.25">
      <c r="H36" s="15"/>
    </row>
    <row r="37" spans="6:22" x14ac:dyDescent="0.25">
      <c r="H37" s="15"/>
      <c r="J37" s="23"/>
    </row>
    <row r="38" spans="6:22" x14ac:dyDescent="0.25">
      <c r="H38" s="15"/>
      <c r="J38" s="23"/>
    </row>
    <row r="39" spans="6:22" x14ac:dyDescent="0.25">
      <c r="H39" s="15"/>
      <c r="J39" s="23"/>
    </row>
    <row r="40" spans="6:22" x14ac:dyDescent="0.25">
      <c r="H40" s="15"/>
      <c r="J40" s="23"/>
    </row>
    <row r="41" spans="6:22" x14ac:dyDescent="0.25">
      <c r="H41" s="15"/>
      <c r="J41" s="23"/>
    </row>
    <row r="42" spans="6:22" x14ac:dyDescent="0.25">
      <c r="H42" s="15"/>
      <c r="J42" s="23"/>
    </row>
    <row r="43" spans="6:22" ht="15.75" x14ac:dyDescent="0.25">
      <c r="G43" s="19"/>
      <c r="H43" s="19"/>
      <c r="I43" s="19"/>
      <c r="J43" s="19"/>
      <c r="K43" s="19"/>
      <c r="L43" s="19"/>
      <c r="M43" s="19"/>
      <c r="N43" s="19"/>
      <c r="O43" s="19"/>
      <c r="P43" s="17"/>
      <c r="Q43" s="17"/>
      <c r="R43" s="17"/>
      <c r="S43" s="17"/>
      <c r="T43" s="17"/>
      <c r="U43" s="17"/>
      <c r="V43" s="17"/>
    </row>
    <row r="44" spans="6:22" ht="15.75" x14ac:dyDescent="0.25">
      <c r="G44" s="19"/>
      <c r="H44" s="19"/>
      <c r="I44" s="19"/>
      <c r="J44" s="19"/>
      <c r="K44" s="19"/>
      <c r="L44" s="19"/>
      <c r="M44" s="19"/>
      <c r="N44" s="19"/>
      <c r="O44" s="19"/>
      <c r="P44" s="17"/>
      <c r="Q44" s="17"/>
      <c r="R44" s="17"/>
      <c r="S44" s="17"/>
      <c r="T44" s="17"/>
      <c r="U44" s="17"/>
      <c r="V44" s="17"/>
    </row>
    <row r="45" spans="6:22" ht="15.75" x14ac:dyDescent="0.25">
      <c r="G45" s="20"/>
      <c r="H45" s="21"/>
      <c r="I45" s="19"/>
      <c r="J45" s="19"/>
      <c r="K45" s="19"/>
      <c r="L45" s="19"/>
      <c r="M45" s="19"/>
      <c r="N45" s="19"/>
      <c r="O45" s="19"/>
      <c r="P45" s="17"/>
      <c r="Q45" s="17"/>
      <c r="R45" s="17"/>
      <c r="S45" s="17"/>
      <c r="T45" s="17"/>
      <c r="U45" s="17"/>
      <c r="V45" s="17"/>
    </row>
    <row r="46" spans="6:22" ht="15.75" x14ac:dyDescent="0.25">
      <c r="G46" s="18"/>
      <c r="H46" s="19"/>
      <c r="I46" s="19"/>
      <c r="J46" s="19"/>
      <c r="K46" s="19"/>
      <c r="L46" s="19"/>
      <c r="M46" s="19"/>
      <c r="N46" s="19"/>
      <c r="O46" s="19"/>
      <c r="P46" s="17"/>
      <c r="Q46" s="17"/>
      <c r="R46" s="17"/>
      <c r="S46" s="17"/>
      <c r="T46" s="17"/>
      <c r="U46" s="17"/>
      <c r="V46" s="17"/>
    </row>
    <row r="47" spans="6:22" ht="15.75" x14ac:dyDescent="0.25"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</sheetData>
  <mergeCells count="7">
    <mergeCell ref="L16:R16"/>
    <mergeCell ref="B1:N1"/>
    <mergeCell ref="B4:F4"/>
    <mergeCell ref="C5:F5"/>
    <mergeCell ref="B7:B12"/>
    <mergeCell ref="I5:Q5"/>
    <mergeCell ref="H6:H9"/>
  </mergeCells>
  <conditionalFormatting sqref="J9:Q9">
    <cfRule type="top10" dxfId="35" priority="1" rank="1"/>
    <cfRule type="top10" priority="2" rank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46"/>
  <sheetViews>
    <sheetView showGridLines="0" topLeftCell="I1" zoomScale="59" zoomScaleNormal="100" workbookViewId="0">
      <selection activeCell="O16" sqref="O16"/>
    </sheetView>
  </sheetViews>
  <sheetFormatPr defaultRowHeight="15" x14ac:dyDescent="0.25"/>
  <cols>
    <col min="1" max="1" width="2.42578125" customWidth="1"/>
    <col min="2" max="2" width="6.28515625" customWidth="1"/>
    <col min="3" max="3" width="23.7109375" customWidth="1"/>
    <col min="4" max="4" width="23.42578125" customWidth="1"/>
    <col min="5" max="5" width="16" customWidth="1"/>
    <col min="6" max="6" width="11.85546875" bestFit="1" customWidth="1"/>
    <col min="7" max="7" width="17.42578125" customWidth="1"/>
    <col min="8" max="8" width="7.5703125" customWidth="1"/>
    <col min="9" max="9" width="14.42578125" bestFit="1" customWidth="1"/>
    <col min="10" max="10" width="18.42578125" customWidth="1"/>
    <col min="11" max="11" width="17.42578125" customWidth="1"/>
    <col min="13" max="13" width="15.85546875" customWidth="1"/>
    <col min="14" max="14" width="19.7109375" customWidth="1"/>
    <col min="15" max="15" width="5.7109375" customWidth="1"/>
    <col min="16" max="16" width="14.42578125" customWidth="1"/>
    <col min="17" max="17" width="38.5703125" customWidth="1"/>
    <col min="18" max="18" width="13.28515625" customWidth="1"/>
    <col min="19" max="19" width="0.140625" customWidth="1"/>
    <col min="20" max="20" width="11.85546875" bestFit="1" customWidth="1"/>
    <col min="21" max="21" width="16.42578125" bestFit="1" customWidth="1"/>
    <col min="22" max="22" width="8.7109375" customWidth="1"/>
    <col min="24" max="24" width="35.85546875" bestFit="1" customWidth="1"/>
    <col min="25" max="25" width="14.5703125" customWidth="1"/>
    <col min="26" max="26" width="12.5703125" customWidth="1"/>
    <col min="27" max="27" width="17.7109375" customWidth="1"/>
  </cols>
  <sheetData>
    <row r="1" spans="2:29" ht="23.25" x14ac:dyDescent="0.35">
      <c r="B1" s="172" t="s">
        <v>184</v>
      </c>
      <c r="C1" s="173" t="s">
        <v>185</v>
      </c>
      <c r="D1" s="173"/>
      <c r="E1" s="173"/>
      <c r="F1" s="173"/>
      <c r="G1" s="173"/>
      <c r="H1" s="173"/>
      <c r="I1" s="174"/>
      <c r="J1" s="171"/>
      <c r="K1" s="171"/>
      <c r="T1" s="116" t="s">
        <v>186</v>
      </c>
      <c r="U1" s="116"/>
      <c r="V1" s="116"/>
      <c r="W1" s="116"/>
      <c r="X1" s="116"/>
      <c r="Y1" s="116"/>
      <c r="Z1" s="116"/>
      <c r="AA1" s="116"/>
      <c r="AB1" s="116"/>
      <c r="AC1" s="116"/>
    </row>
    <row r="4" spans="2:29" ht="18.75" x14ac:dyDescent="0.3">
      <c r="C4" s="22" t="s">
        <v>97</v>
      </c>
      <c r="D4" s="22" t="s">
        <v>95</v>
      </c>
      <c r="I4" s="122" t="s">
        <v>97</v>
      </c>
      <c r="J4" s="122"/>
      <c r="K4" s="122"/>
      <c r="L4" s="122"/>
      <c r="M4" s="122"/>
      <c r="N4" s="122"/>
      <c r="P4" s="73" t="s">
        <v>99</v>
      </c>
      <c r="Q4" s="74"/>
      <c r="W4" s="75" t="s">
        <v>0</v>
      </c>
      <c r="X4" s="76" t="s">
        <v>86</v>
      </c>
      <c r="Y4" s="77">
        <v>44713</v>
      </c>
      <c r="Z4" s="77">
        <v>45047</v>
      </c>
      <c r="AA4" s="76" t="s">
        <v>128</v>
      </c>
    </row>
    <row r="5" spans="2:29" x14ac:dyDescent="0.25">
      <c r="C5" s="22" t="s">
        <v>87</v>
      </c>
      <c r="D5" t="s">
        <v>31</v>
      </c>
      <c r="E5" t="s">
        <v>35</v>
      </c>
      <c r="F5" t="s">
        <v>34</v>
      </c>
      <c r="G5" t="s">
        <v>96</v>
      </c>
      <c r="I5" s="50" t="s">
        <v>87</v>
      </c>
      <c r="J5" s="50" t="s">
        <v>31</v>
      </c>
      <c r="K5" s="50" t="s">
        <v>35</v>
      </c>
      <c r="L5" s="50" t="s">
        <v>34</v>
      </c>
      <c r="M5" s="50" t="s">
        <v>96</v>
      </c>
      <c r="N5" s="50" t="s">
        <v>242</v>
      </c>
      <c r="P5" s="71" t="s">
        <v>87</v>
      </c>
      <c r="Q5" s="71" t="s">
        <v>98</v>
      </c>
      <c r="W5" s="121" t="s">
        <v>35</v>
      </c>
      <c r="X5" s="5" t="s">
        <v>12</v>
      </c>
      <c r="Y5" s="5">
        <v>187.1</v>
      </c>
      <c r="Z5" s="5">
        <v>218</v>
      </c>
      <c r="AA5" s="16">
        <f t="shared" ref="AA5:AA16" si="0">(Z5-Y5)/Y5</f>
        <v>0.16515232495991453</v>
      </c>
    </row>
    <row r="6" spans="2:29" x14ac:dyDescent="0.25">
      <c r="C6" s="15" t="s">
        <v>70</v>
      </c>
      <c r="D6">
        <v>2255.7999999999997</v>
      </c>
      <c r="E6">
        <v>2269.2000000000003</v>
      </c>
      <c r="F6">
        <v>2293.6999999999998</v>
      </c>
      <c r="G6">
        <v>2272.9</v>
      </c>
      <c r="I6" s="44"/>
      <c r="J6" s="5"/>
      <c r="K6" s="5"/>
      <c r="L6" s="5"/>
      <c r="M6" s="5"/>
      <c r="N6" s="5"/>
      <c r="P6" s="5"/>
      <c r="Q6" s="16"/>
      <c r="U6" s="23"/>
      <c r="W6" s="121"/>
      <c r="X6" s="5" t="s">
        <v>3</v>
      </c>
      <c r="Y6" s="5">
        <v>155</v>
      </c>
      <c r="Z6" s="5">
        <v>173.7</v>
      </c>
      <c r="AA6" s="16">
        <f t="shared" si="0"/>
        <v>0.1206451612903225</v>
      </c>
    </row>
    <row r="7" spans="2:29" x14ac:dyDescent="0.25">
      <c r="C7" s="15" t="s">
        <v>74</v>
      </c>
      <c r="D7">
        <v>2277.1</v>
      </c>
      <c r="E7">
        <v>2283.4</v>
      </c>
      <c r="F7">
        <v>2295.7999999999997</v>
      </c>
      <c r="G7">
        <v>2285.4333333333329</v>
      </c>
      <c r="I7" s="70" t="s">
        <v>68</v>
      </c>
      <c r="J7" s="35">
        <f t="shared" ref="J7:M18" si="1">INDEX($C$5:$G$18,MATCH($I7,$C$5:$C$18,0),MATCH(J$5,$C$5:$G$5,0))</f>
        <v>2248.3000000000002</v>
      </c>
      <c r="K7" s="35">
        <f t="shared" si="1"/>
        <v>2261.9</v>
      </c>
      <c r="L7" s="35">
        <f t="shared" si="1"/>
        <v>2287.5</v>
      </c>
      <c r="M7" s="35">
        <f t="shared" si="1"/>
        <v>2265.9</v>
      </c>
      <c r="N7" s="36"/>
      <c r="P7" s="72" t="s">
        <v>100</v>
      </c>
      <c r="Q7" s="69">
        <v>1.8647950193820281E-3</v>
      </c>
      <c r="U7" s="23"/>
      <c r="W7" s="121"/>
      <c r="X7" s="5" t="s">
        <v>6</v>
      </c>
      <c r="Y7" s="5">
        <v>165.8</v>
      </c>
      <c r="Z7" s="5">
        <v>179.5</v>
      </c>
      <c r="AA7" s="16">
        <f t="shared" si="0"/>
        <v>8.2629674306393175E-2</v>
      </c>
    </row>
    <row r="8" spans="2:29" x14ac:dyDescent="0.25">
      <c r="C8" s="15" t="s">
        <v>69</v>
      </c>
      <c r="D8">
        <v>2252.5</v>
      </c>
      <c r="E8">
        <v>2266.3000000000002</v>
      </c>
      <c r="F8">
        <v>2291.6</v>
      </c>
      <c r="G8">
        <v>2270.1333333333332</v>
      </c>
      <c r="I8" s="70" t="s">
        <v>69</v>
      </c>
      <c r="J8" s="35">
        <f t="shared" si="1"/>
        <v>2252.5</v>
      </c>
      <c r="K8" s="35">
        <f t="shared" si="1"/>
        <v>2266.3000000000002</v>
      </c>
      <c r="L8" s="35">
        <f t="shared" si="1"/>
        <v>2291.6</v>
      </c>
      <c r="M8" s="35">
        <f t="shared" si="1"/>
        <v>2270.1333333333332</v>
      </c>
      <c r="N8" s="36">
        <f>(M8-M7)/M8</f>
        <v>1.8647950193820281E-3</v>
      </c>
      <c r="P8" s="72" t="s">
        <v>101</v>
      </c>
      <c r="Q8" s="69">
        <v>1.2172408230308764E-3</v>
      </c>
      <c r="U8" s="23"/>
      <c r="W8" s="121"/>
      <c r="X8" s="5" t="s">
        <v>10</v>
      </c>
      <c r="Y8" s="5">
        <v>164.3</v>
      </c>
      <c r="Z8" s="5">
        <v>175.6</v>
      </c>
      <c r="AA8" s="16">
        <f t="shared" si="0"/>
        <v>6.8776628119293873E-2</v>
      </c>
    </row>
    <row r="9" spans="2:29" x14ac:dyDescent="0.25">
      <c r="C9" s="15" t="s">
        <v>68</v>
      </c>
      <c r="D9">
        <v>2248.3000000000002</v>
      </c>
      <c r="E9">
        <v>2261.9</v>
      </c>
      <c r="F9">
        <v>2287.5</v>
      </c>
      <c r="G9">
        <v>2265.9</v>
      </c>
      <c r="I9" s="70" t="s">
        <v>70</v>
      </c>
      <c r="J9" s="35">
        <f t="shared" si="1"/>
        <v>2255.7999999999997</v>
      </c>
      <c r="K9" s="35">
        <f t="shared" si="1"/>
        <v>2269.2000000000003</v>
      </c>
      <c r="L9" s="35">
        <f t="shared" si="1"/>
        <v>2293.6999999999998</v>
      </c>
      <c r="M9" s="35">
        <f t="shared" si="1"/>
        <v>2272.9</v>
      </c>
      <c r="N9" s="36">
        <f t="shared" ref="N9:N18" si="2">(M9-M8)/M9</f>
        <v>1.2172408230308764E-3</v>
      </c>
      <c r="P9" s="72" t="s">
        <v>102</v>
      </c>
      <c r="Q9" s="69">
        <v>5.3099152455835267E-3</v>
      </c>
      <c r="U9" s="23"/>
      <c r="W9" s="121"/>
      <c r="X9" s="5" t="s">
        <v>178</v>
      </c>
      <c r="Y9" s="5">
        <v>183.9</v>
      </c>
      <c r="Z9" s="5">
        <v>194.2</v>
      </c>
      <c r="AA9" s="16">
        <f t="shared" si="0"/>
        <v>5.6008700380641561E-2</v>
      </c>
    </row>
    <row r="10" spans="2:29" x14ac:dyDescent="0.25">
      <c r="C10" s="15" t="s">
        <v>67</v>
      </c>
      <c r="D10">
        <v>2226.8000000000002</v>
      </c>
      <c r="E10">
        <v>2238.9000000000005</v>
      </c>
      <c r="F10">
        <v>2262.2000000000003</v>
      </c>
      <c r="G10">
        <v>2242.6333333333337</v>
      </c>
      <c r="I10" s="70" t="s">
        <v>71</v>
      </c>
      <c r="J10" s="35">
        <f t="shared" si="1"/>
        <v>2267.8000000000002</v>
      </c>
      <c r="K10" s="35">
        <f t="shared" si="1"/>
        <v>2280.9</v>
      </c>
      <c r="L10" s="35">
        <f t="shared" si="1"/>
        <v>2306.4</v>
      </c>
      <c r="M10" s="35">
        <f t="shared" si="1"/>
        <v>2285.0333333333333</v>
      </c>
      <c r="N10" s="36">
        <f t="shared" si="2"/>
        <v>5.3099152455835267E-3</v>
      </c>
      <c r="P10" s="72" t="s">
        <v>103</v>
      </c>
      <c r="Q10" s="69">
        <v>7.0972320794890648E-3</v>
      </c>
      <c r="U10" s="23"/>
      <c r="W10" s="121"/>
      <c r="X10" s="5" t="s">
        <v>13</v>
      </c>
      <c r="Y10" s="5">
        <v>167.9</v>
      </c>
      <c r="Z10" s="5">
        <v>173.4</v>
      </c>
      <c r="AA10" s="16">
        <f t="shared" si="0"/>
        <v>3.2757593805836809E-2</v>
      </c>
    </row>
    <row r="11" spans="2:29" x14ac:dyDescent="0.25">
      <c r="C11" s="15" t="s">
        <v>73</v>
      </c>
      <c r="D11">
        <v>2287.6999999999998</v>
      </c>
      <c r="E11">
        <v>2296.8000000000002</v>
      </c>
      <c r="F11">
        <v>2314.4</v>
      </c>
      <c r="G11">
        <v>2299.6333333333332</v>
      </c>
      <c r="I11" s="70" t="s">
        <v>72</v>
      </c>
      <c r="J11" s="35">
        <f t="shared" si="1"/>
        <v>2284.5</v>
      </c>
      <c r="K11" s="35">
        <f t="shared" si="1"/>
        <v>2297.3000000000002</v>
      </c>
      <c r="L11" s="35">
        <f t="shared" si="1"/>
        <v>2322.3000000000002</v>
      </c>
      <c r="M11" s="35">
        <f t="shared" si="1"/>
        <v>2301.3666666666668</v>
      </c>
      <c r="N11" s="36">
        <f t="shared" si="2"/>
        <v>7.0972320794890648E-3</v>
      </c>
      <c r="P11" s="72" t="s">
        <v>104</v>
      </c>
      <c r="Q11" s="69">
        <v>-7.5374335038929795E-4</v>
      </c>
      <c r="U11" s="23"/>
      <c r="W11" s="121"/>
      <c r="X11" s="5" t="s">
        <v>11</v>
      </c>
      <c r="Y11" s="5">
        <v>119.9</v>
      </c>
      <c r="Z11" s="5">
        <v>122.7</v>
      </c>
      <c r="AA11" s="16">
        <f t="shared" si="0"/>
        <v>2.3352793994995805E-2</v>
      </c>
    </row>
    <row r="12" spans="2:29" x14ac:dyDescent="0.25">
      <c r="C12" s="15" t="s">
        <v>72</v>
      </c>
      <c r="D12">
        <v>2284.5</v>
      </c>
      <c r="E12">
        <v>2297.3000000000002</v>
      </c>
      <c r="F12">
        <v>2322.3000000000002</v>
      </c>
      <c r="G12">
        <v>2301.3666666666668</v>
      </c>
      <c r="I12" s="70" t="s">
        <v>73</v>
      </c>
      <c r="J12" s="35">
        <f t="shared" si="1"/>
        <v>2287.6999999999998</v>
      </c>
      <c r="K12" s="35">
        <f t="shared" si="1"/>
        <v>2296.8000000000002</v>
      </c>
      <c r="L12" s="35">
        <f t="shared" si="1"/>
        <v>2314.4</v>
      </c>
      <c r="M12" s="35">
        <f t="shared" si="1"/>
        <v>2299.6333333333332</v>
      </c>
      <c r="N12" s="36">
        <f t="shared" si="2"/>
        <v>-7.5374335038929795E-4</v>
      </c>
      <c r="P12" s="72" t="s">
        <v>105</v>
      </c>
      <c r="Q12" s="69">
        <v>-6.213263713664925E-3</v>
      </c>
      <c r="U12" s="23"/>
      <c r="W12" s="121"/>
      <c r="X12" s="5" t="s">
        <v>8</v>
      </c>
      <c r="Y12" s="5">
        <v>169.7</v>
      </c>
      <c r="Z12" s="5">
        <v>172.2</v>
      </c>
      <c r="AA12" s="16">
        <f t="shared" si="0"/>
        <v>1.4731879787860933E-2</v>
      </c>
    </row>
    <row r="13" spans="2:29" x14ac:dyDescent="0.25">
      <c r="C13" s="15" t="s">
        <v>71</v>
      </c>
      <c r="D13">
        <v>2267.8000000000002</v>
      </c>
      <c r="E13">
        <v>2280.9</v>
      </c>
      <c r="F13">
        <v>2306.4</v>
      </c>
      <c r="G13">
        <v>2285.0333333333333</v>
      </c>
      <c r="I13" s="70" t="s">
        <v>74</v>
      </c>
      <c r="J13" s="35">
        <f t="shared" si="1"/>
        <v>2277.1</v>
      </c>
      <c r="K13" s="35">
        <f t="shared" si="1"/>
        <v>2283.4</v>
      </c>
      <c r="L13" s="35">
        <f t="shared" si="1"/>
        <v>2295.7999999999997</v>
      </c>
      <c r="M13" s="35">
        <f t="shared" si="1"/>
        <v>2285.4333333333329</v>
      </c>
      <c r="N13" s="36">
        <f t="shared" si="2"/>
        <v>-6.213263713664925E-3</v>
      </c>
      <c r="P13" s="72" t="s">
        <v>106</v>
      </c>
      <c r="Q13" s="69">
        <v>4.3275584147778202E-3</v>
      </c>
      <c r="U13" s="23"/>
      <c r="W13" s="121"/>
      <c r="X13" s="5" t="s">
        <v>5</v>
      </c>
      <c r="Y13" s="5">
        <v>170.8</v>
      </c>
      <c r="Z13" s="5">
        <v>173.2</v>
      </c>
      <c r="AA13" s="16">
        <f t="shared" si="0"/>
        <v>1.4051522248243426E-2</v>
      </c>
    </row>
    <row r="14" spans="2:29" x14ac:dyDescent="0.25">
      <c r="C14" s="15" t="s">
        <v>78</v>
      </c>
      <c r="D14">
        <v>2274.1999999999998</v>
      </c>
      <c r="E14">
        <v>2289.6000000000004</v>
      </c>
      <c r="F14">
        <v>2317.7000000000003</v>
      </c>
      <c r="G14">
        <v>2293.8333333333335</v>
      </c>
      <c r="I14" s="70" t="s">
        <v>75</v>
      </c>
      <c r="J14" s="35">
        <f t="shared" si="1"/>
        <v>2283.2000000000003</v>
      </c>
      <c r="K14" s="35">
        <f t="shared" si="1"/>
        <v>2292.6999999999998</v>
      </c>
      <c r="L14" s="35">
        <f t="shared" si="1"/>
        <v>2310.2000000000003</v>
      </c>
      <c r="M14" s="35">
        <f t="shared" si="1"/>
        <v>2295.3666666666668</v>
      </c>
      <c r="N14" s="36">
        <f t="shared" si="2"/>
        <v>4.3275584147778202E-3</v>
      </c>
      <c r="P14" s="72" t="s">
        <v>107</v>
      </c>
      <c r="Q14" s="69">
        <v>-5.563668224299185E-3</v>
      </c>
      <c r="U14" s="23"/>
      <c r="W14" s="121"/>
      <c r="X14" s="5" t="s">
        <v>4</v>
      </c>
      <c r="Y14" s="5">
        <v>219.4</v>
      </c>
      <c r="Z14" s="5">
        <v>214.3</v>
      </c>
      <c r="AA14" s="16">
        <f t="shared" si="0"/>
        <v>-2.3245214220601614E-2</v>
      </c>
    </row>
    <row r="15" spans="2:29" x14ac:dyDescent="0.25">
      <c r="C15" s="15" t="s">
        <v>76</v>
      </c>
      <c r="D15">
        <v>2265.6999999999998</v>
      </c>
      <c r="E15">
        <v>2279.1</v>
      </c>
      <c r="F15">
        <v>2303.1999999999998</v>
      </c>
      <c r="G15">
        <v>2282.6666666666665</v>
      </c>
      <c r="I15" s="70" t="s">
        <v>76</v>
      </c>
      <c r="J15" s="35">
        <f t="shared" si="1"/>
        <v>2265.6999999999998</v>
      </c>
      <c r="K15" s="35">
        <f t="shared" si="1"/>
        <v>2279.1</v>
      </c>
      <c r="L15" s="35">
        <f t="shared" si="1"/>
        <v>2303.1999999999998</v>
      </c>
      <c r="M15" s="35">
        <f t="shared" si="1"/>
        <v>2282.6666666666665</v>
      </c>
      <c r="N15" s="36">
        <f t="shared" si="2"/>
        <v>-5.563668224299185E-3</v>
      </c>
      <c r="P15" s="72" t="s">
        <v>108</v>
      </c>
      <c r="Q15" s="69">
        <v>5.8407803282465432E-5</v>
      </c>
      <c r="U15" s="23"/>
      <c r="W15" s="121"/>
      <c r="X15" s="5" t="s">
        <v>9</v>
      </c>
      <c r="Y15" s="5">
        <v>182.3</v>
      </c>
      <c r="Z15" s="5">
        <v>161</v>
      </c>
      <c r="AA15" s="16">
        <f t="shared" si="0"/>
        <v>-0.11684037301151953</v>
      </c>
    </row>
    <row r="16" spans="2:29" x14ac:dyDescent="0.25">
      <c r="C16" s="15" t="s">
        <v>75</v>
      </c>
      <c r="D16">
        <v>2283.2000000000003</v>
      </c>
      <c r="E16">
        <v>2292.6999999999998</v>
      </c>
      <c r="F16">
        <v>2310.2000000000003</v>
      </c>
      <c r="G16">
        <v>2295.3666666666668</v>
      </c>
      <c r="I16" s="70" t="s">
        <v>77</v>
      </c>
      <c r="J16" s="35">
        <f t="shared" si="1"/>
        <v>2265.8000000000002</v>
      </c>
      <c r="K16" s="35">
        <f t="shared" si="1"/>
        <v>2279.1999999999998</v>
      </c>
      <c r="L16" s="35">
        <f t="shared" si="1"/>
        <v>2303.4</v>
      </c>
      <c r="M16" s="35">
        <f t="shared" si="1"/>
        <v>2282.7999999999997</v>
      </c>
      <c r="N16" s="36">
        <f t="shared" si="2"/>
        <v>5.8407803282465432E-5</v>
      </c>
      <c r="P16" s="72" t="s">
        <v>109</v>
      </c>
      <c r="Q16" s="69">
        <v>4.809997820242864E-3</v>
      </c>
      <c r="U16" s="23"/>
      <c r="W16" s="121"/>
      <c r="X16" s="5" t="s">
        <v>7</v>
      </c>
      <c r="Y16" s="5">
        <v>200.9</v>
      </c>
      <c r="Z16" s="5">
        <v>170</v>
      </c>
      <c r="AA16" s="16">
        <f t="shared" si="0"/>
        <v>-0.15380786460925835</v>
      </c>
    </row>
    <row r="17" spans="3:25" x14ac:dyDescent="0.25">
      <c r="C17" s="15" t="s">
        <v>77</v>
      </c>
      <c r="D17">
        <v>2265.8000000000002</v>
      </c>
      <c r="E17">
        <v>2279.1999999999998</v>
      </c>
      <c r="F17">
        <v>2303.4</v>
      </c>
      <c r="G17">
        <v>2282.7999999999997</v>
      </c>
      <c r="I17" s="70" t="s">
        <v>78</v>
      </c>
      <c r="J17" s="35">
        <f t="shared" si="1"/>
        <v>2274.1999999999998</v>
      </c>
      <c r="K17" s="35">
        <f t="shared" si="1"/>
        <v>2289.6000000000004</v>
      </c>
      <c r="L17" s="35">
        <f t="shared" si="1"/>
        <v>2317.7000000000003</v>
      </c>
      <c r="M17" s="35">
        <f t="shared" si="1"/>
        <v>2293.8333333333335</v>
      </c>
      <c r="N17" s="36">
        <f t="shared" si="2"/>
        <v>4.809997820242864E-3</v>
      </c>
      <c r="P17" s="72" t="s">
        <v>79</v>
      </c>
      <c r="Q17" s="69">
        <v>7.3852900024521202E-3</v>
      </c>
      <c r="U17" s="23"/>
      <c r="Y17" s="26"/>
    </row>
    <row r="18" spans="3:25" x14ac:dyDescent="0.25">
      <c r="C18" s="15" t="s">
        <v>79</v>
      </c>
      <c r="D18">
        <v>2290.7000000000007</v>
      </c>
      <c r="E18">
        <v>2306.9</v>
      </c>
      <c r="F18">
        <v>2335.1</v>
      </c>
      <c r="G18">
        <v>2310.9</v>
      </c>
      <c r="I18" s="70" t="s">
        <v>79</v>
      </c>
      <c r="J18" s="35">
        <f t="shared" si="1"/>
        <v>2290.7000000000007</v>
      </c>
      <c r="K18" s="35">
        <f t="shared" si="1"/>
        <v>2306.9</v>
      </c>
      <c r="L18" s="35">
        <f t="shared" si="1"/>
        <v>2335.1</v>
      </c>
      <c r="M18" s="35">
        <f t="shared" si="1"/>
        <v>2310.9</v>
      </c>
      <c r="N18" s="36">
        <f t="shared" si="2"/>
        <v>7.3852900024521202E-3</v>
      </c>
      <c r="P18" s="60" t="s">
        <v>241</v>
      </c>
      <c r="Q18" s="108">
        <f>SUM(Q7:Q17)*(-1)</f>
        <v>-1.953976191988736E-2</v>
      </c>
    </row>
    <row r="19" spans="3:25" x14ac:dyDescent="0.25">
      <c r="C19" s="15" t="s">
        <v>96</v>
      </c>
      <c r="D19">
        <v>2267.7000000000003</v>
      </c>
      <c r="E19">
        <v>2280.169230769231</v>
      </c>
      <c r="F19">
        <v>2303.3461538461543</v>
      </c>
      <c r="G19">
        <v>2283.7384615384613</v>
      </c>
    </row>
    <row r="45" spans="4:24" ht="18.75" x14ac:dyDescent="0.3">
      <c r="D45" s="123" t="s">
        <v>235</v>
      </c>
      <c r="E45" s="123"/>
      <c r="F45" s="123"/>
      <c r="G45" s="123"/>
      <c r="H45" s="123"/>
      <c r="I45" s="123"/>
      <c r="J45" s="123"/>
      <c r="Q45" s="117" t="s">
        <v>237</v>
      </c>
      <c r="R45" s="117"/>
      <c r="S45" s="117"/>
      <c r="T45" s="117"/>
      <c r="U45" s="117"/>
      <c r="V45" s="117"/>
      <c r="W45" s="117"/>
      <c r="X45" s="117"/>
    </row>
    <row r="46" spans="4:24" ht="15.75" x14ac:dyDescent="0.25">
      <c r="D46" s="124" t="s">
        <v>236</v>
      </c>
      <c r="E46" s="124"/>
      <c r="F46" s="124"/>
      <c r="G46" s="124"/>
      <c r="H46" s="124"/>
      <c r="I46" s="124"/>
      <c r="J46" s="124"/>
    </row>
  </sheetData>
  <sortState ref="X5:AA16">
    <sortCondition descending="1" ref="AA5:AA16"/>
  </sortState>
  <mergeCells count="6">
    <mergeCell ref="T1:AC1"/>
    <mergeCell ref="W5:W16"/>
    <mergeCell ref="I4:N4"/>
    <mergeCell ref="D45:J45"/>
    <mergeCell ref="D46:J46"/>
    <mergeCell ref="Q45:X45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97"/>
  <sheetViews>
    <sheetView showGridLines="0" topLeftCell="G66" zoomScale="99" workbookViewId="0">
      <selection activeCell="H83" sqref="H83"/>
    </sheetView>
  </sheetViews>
  <sheetFormatPr defaultRowHeight="15" x14ac:dyDescent="0.25"/>
  <cols>
    <col min="1" max="1" width="4.42578125" customWidth="1"/>
    <col min="2" max="2" width="0.42578125" customWidth="1"/>
    <col min="3" max="3" width="16.140625" bestFit="1" customWidth="1"/>
    <col min="4" max="4" width="18.5703125" customWidth="1"/>
    <col min="5" max="5" width="30.7109375" bestFit="1" customWidth="1"/>
    <col min="6" max="6" width="15.28515625" bestFit="1" customWidth="1"/>
    <col min="7" max="7" width="16.140625" customWidth="1"/>
    <col min="8" max="8" width="15.28515625" bestFit="1" customWidth="1"/>
    <col min="9" max="9" width="8.5703125" customWidth="1"/>
    <col min="10" max="10" width="0.85546875" customWidth="1"/>
    <col min="11" max="11" width="17.28515625" customWidth="1"/>
    <col min="12" max="290" width="15.28515625" bestFit="1" customWidth="1"/>
    <col min="291" max="291" width="10.7109375" bestFit="1" customWidth="1"/>
  </cols>
  <sheetData>
    <row r="1" spans="4:15" ht="23.25" x14ac:dyDescent="0.35">
      <c r="D1" s="130" t="s">
        <v>179</v>
      </c>
      <c r="E1" s="130"/>
      <c r="F1" s="130"/>
      <c r="G1" s="130"/>
      <c r="H1" s="130"/>
      <c r="I1" s="130"/>
      <c r="J1" s="130"/>
      <c r="K1" s="130"/>
    </row>
    <row r="4" spans="4:15" ht="18.75" x14ac:dyDescent="0.3">
      <c r="D4" s="131" t="s">
        <v>114</v>
      </c>
      <c r="E4" s="131"/>
      <c r="F4" s="131"/>
      <c r="G4" s="131"/>
      <c r="H4" s="131"/>
      <c r="K4" s="131" t="s">
        <v>115</v>
      </c>
      <c r="L4" s="131"/>
      <c r="M4" s="131"/>
      <c r="N4" s="131"/>
      <c r="O4" s="131"/>
    </row>
    <row r="6" spans="4:15" x14ac:dyDescent="0.25">
      <c r="D6" s="31" t="s">
        <v>113</v>
      </c>
      <c r="E6" s="32" t="s">
        <v>86</v>
      </c>
      <c r="F6" s="31">
        <v>43525</v>
      </c>
      <c r="G6" s="31">
        <v>43862</v>
      </c>
      <c r="H6" s="31" t="s">
        <v>112</v>
      </c>
      <c r="K6" s="31" t="s">
        <v>113</v>
      </c>
      <c r="L6" s="32" t="s">
        <v>86</v>
      </c>
      <c r="M6" s="31">
        <v>43891</v>
      </c>
      <c r="N6" s="31">
        <v>44228</v>
      </c>
      <c r="O6" s="31" t="s">
        <v>112</v>
      </c>
    </row>
    <row r="7" spans="4:15" ht="14.45" customHeight="1" x14ac:dyDescent="0.25">
      <c r="D7" s="141" t="s">
        <v>30</v>
      </c>
      <c r="E7" s="29" t="s">
        <v>9</v>
      </c>
      <c r="F7" s="5">
        <f>SUMIFS(Vege,date,F$6,sec,"Rural+Urban")</f>
        <v>132.6</v>
      </c>
      <c r="G7" s="5">
        <f>SUMIFS(Vege,date,G$6,sec,"Rural+Urban")</f>
        <v>170.7</v>
      </c>
      <c r="H7" s="16">
        <f t="shared" ref="H7:H21" si="0">(G7-F7)/F7</f>
        <v>0.28733031674208143</v>
      </c>
      <c r="K7" s="135" t="s">
        <v>30</v>
      </c>
      <c r="L7" s="29" t="s">
        <v>7</v>
      </c>
      <c r="M7" s="5">
        <f>SUMIFS(oils,date,M$6,sec,"Rural+Urban")</f>
        <v>131.19999999999999</v>
      </c>
      <c r="N7" s="5">
        <f>SUMIFS(oils,date,N$6,sec,"Rural+Urban")</f>
        <v>158.69999999999999</v>
      </c>
      <c r="O7" s="16">
        <f t="shared" ref="O7:O21" si="1">(N7-M7)/M7</f>
        <v>0.20960365853658539</v>
      </c>
    </row>
    <row r="8" spans="4:15" x14ac:dyDescent="0.25">
      <c r="D8" s="141"/>
      <c r="E8" s="29" t="s">
        <v>10</v>
      </c>
      <c r="F8" s="5">
        <f>SUMIFS(pulses,date,F$6,sec,"Rural+Urban")</f>
        <v>121.8</v>
      </c>
      <c r="G8" s="5">
        <f>SUMIFS(pulses,date,G$6,sec,"Rural+Urban")</f>
        <v>141.1</v>
      </c>
      <c r="H8" s="16">
        <f t="shared" si="0"/>
        <v>0.15845648604269291</v>
      </c>
      <c r="K8" s="136"/>
      <c r="L8" s="29" t="s">
        <v>5</v>
      </c>
      <c r="M8" s="5">
        <f>SUMIFS(egg,date,M$6,sec,"Rural+Urban")</f>
        <v>148.1</v>
      </c>
      <c r="N8" s="5">
        <f>SUMIFS(egg,date,N$6,sec,"Rural+Urban")</f>
        <v>168.7</v>
      </c>
      <c r="O8" s="16">
        <f t="shared" si="1"/>
        <v>0.13909520594193109</v>
      </c>
    </row>
    <row r="9" spans="4:15" x14ac:dyDescent="0.25">
      <c r="D9" s="141"/>
      <c r="E9" s="29" t="s">
        <v>4</v>
      </c>
      <c r="F9" s="5">
        <f>SUMIFS(meat,date,F6,sec,"Rural+Urban")</f>
        <v>153</v>
      </c>
      <c r="G9" s="5">
        <f>SUMIFS(meat,date,G6,sec,"Rural+Urban")</f>
        <v>167.5</v>
      </c>
      <c r="H9" s="16">
        <f t="shared" si="0"/>
        <v>9.4771241830065356E-2</v>
      </c>
      <c r="K9" s="136"/>
      <c r="L9" s="29" t="s">
        <v>13</v>
      </c>
      <c r="M9" s="5">
        <f>SUMIFS(NonAlco,date,M$6,sec,"Rural+Urban")</f>
        <v>136.69999999999999</v>
      </c>
      <c r="N9" s="5">
        <f>SUMIFS(NonAlco,date,N$6,sec,"Rural+Urban")</f>
        <v>155.5</v>
      </c>
      <c r="O9" s="16">
        <f t="shared" si="1"/>
        <v>0.13752743233357728</v>
      </c>
    </row>
    <row r="10" spans="4:15" x14ac:dyDescent="0.25">
      <c r="D10" s="141"/>
      <c r="E10" s="29" t="s">
        <v>12</v>
      </c>
      <c r="F10" s="5">
        <f>SUMIFS(spices,date,F6,sec,"Rural+Urban")</f>
        <v>139.5</v>
      </c>
      <c r="G10" s="5">
        <f>SUMIFS(spices,date,G6,sec,"Rural+Urban")</f>
        <v>152</v>
      </c>
      <c r="H10" s="16">
        <f t="shared" si="0"/>
        <v>8.9605734767025089E-2</v>
      </c>
      <c r="K10" s="137"/>
      <c r="L10" s="29" t="s">
        <v>10</v>
      </c>
      <c r="M10" s="5">
        <f>SUMIFS(pulses,date,M$6,sec,"Rural+Urban")</f>
        <v>141.1</v>
      </c>
      <c r="N10" s="5">
        <f>SUMIFS(pulses,date,N$6,sec,"Rural+Urban")</f>
        <v>158.80000000000001</v>
      </c>
      <c r="O10" s="16">
        <f t="shared" si="1"/>
        <v>0.12544294826364294</v>
      </c>
    </row>
    <row r="11" spans="4:15" x14ac:dyDescent="0.25">
      <c r="D11" s="141"/>
      <c r="E11" s="29" t="s">
        <v>5</v>
      </c>
      <c r="F11" s="5">
        <f>SUMIFS(egg,date,F$6,sec,"Rural+Urban")</f>
        <v>140.30000000000001</v>
      </c>
      <c r="G11" s="5">
        <f>SUMIFS(egg,date,G$6,sec,"Rural+Urban")</f>
        <v>151.80000000000001</v>
      </c>
      <c r="H11" s="16">
        <f t="shared" si="0"/>
        <v>8.1967213114754092E-2</v>
      </c>
      <c r="K11" s="30" t="s">
        <v>117</v>
      </c>
      <c r="L11" s="29" t="s">
        <v>24</v>
      </c>
      <c r="M11" s="5">
        <f>SUMIFS(trans,date,M$6,sec,"Rural+Urban")</f>
        <v>129.9</v>
      </c>
      <c r="N11" s="5">
        <f>SUMIFS(trans,date,N$6,sec,"Rural+Urban")</f>
        <v>145.1</v>
      </c>
      <c r="O11" s="16">
        <f t="shared" si="1"/>
        <v>0.11701308698999222</v>
      </c>
    </row>
    <row r="12" spans="4:15" x14ac:dyDescent="0.25">
      <c r="D12" s="141"/>
      <c r="E12" s="29" t="s">
        <v>7</v>
      </c>
      <c r="F12" s="5">
        <f>SUMIFS(oils,date,F$6,sec,"Rural+Urban")</f>
        <v>122</v>
      </c>
      <c r="G12" s="5">
        <f>SUMIFS(oils,date,G$6,sec,"Rural+Urban")</f>
        <v>131.4</v>
      </c>
      <c r="H12" s="16">
        <f t="shared" si="0"/>
        <v>7.7049180327868894E-2</v>
      </c>
      <c r="K12" s="139" t="s">
        <v>30</v>
      </c>
      <c r="L12" s="29" t="s">
        <v>4</v>
      </c>
      <c r="M12" s="5">
        <f>SUMIFS(meat,date,M$6,sec,"Rural+Urban")</f>
        <v>167</v>
      </c>
      <c r="N12" s="5">
        <f>SUMIFS(meat,date,N$6,sec,"Rural+Urban")</f>
        <v>186.5</v>
      </c>
      <c r="O12" s="16">
        <f t="shared" si="1"/>
        <v>0.11676646706586827</v>
      </c>
    </row>
    <row r="13" spans="4:15" x14ac:dyDescent="0.25">
      <c r="D13" s="141"/>
      <c r="E13" s="29" t="s">
        <v>6</v>
      </c>
      <c r="F13" s="5">
        <f>SUMIFS(milk,date,F$6,sec,"Rural+Urban")</f>
        <v>142.30000000000001</v>
      </c>
      <c r="G13" s="5">
        <f>SUMIFS(milk,date,G$6,sec,"Rural+Urban")</f>
        <v>150.80000000000001</v>
      </c>
      <c r="H13" s="16">
        <f t="shared" si="0"/>
        <v>5.9732958538299366E-2</v>
      </c>
      <c r="K13" s="140"/>
      <c r="L13" s="29" t="s">
        <v>12</v>
      </c>
      <c r="M13" s="5">
        <f>SUMIFS(spices,date,M$6,sec,"Rural+Urban")</f>
        <v>153.19999999999999</v>
      </c>
      <c r="N13" s="5">
        <f>SUMIFS(spices,date,N$6,sec,"Rural+Urban")</f>
        <v>164.2</v>
      </c>
      <c r="O13" s="16">
        <f t="shared" si="1"/>
        <v>7.1801566579634477E-2</v>
      </c>
    </row>
    <row r="14" spans="4:15" x14ac:dyDescent="0.25">
      <c r="D14" s="30" t="s">
        <v>21</v>
      </c>
      <c r="E14" s="29" t="s">
        <v>21</v>
      </c>
      <c r="F14" s="5">
        <f>SUMIFS(fuel,date,F$6,sec,"Rural+Urban")</f>
        <v>139.69999999999999</v>
      </c>
      <c r="G14" s="5">
        <f>SUMIFS(fuel,date,G$6,sec,"Rural+Urban")</f>
        <v>147.19999999999999</v>
      </c>
      <c r="H14" s="16">
        <f t="shared" si="0"/>
        <v>5.368647100930566E-2</v>
      </c>
      <c r="K14" s="30" t="s">
        <v>23</v>
      </c>
      <c r="L14" s="29" t="s">
        <v>23</v>
      </c>
      <c r="M14" s="5">
        <f>SUMIFS(health,date,M$6,sec,"Rural+Urban")</f>
        <v>152.30000000000001</v>
      </c>
      <c r="N14" s="5">
        <f>SUMIFS(health,date,N$6,sec,"Rural+Urban")</f>
        <v>161.30000000000001</v>
      </c>
      <c r="O14" s="16">
        <f t="shared" si="1"/>
        <v>5.9093893630991462E-2</v>
      </c>
    </row>
    <row r="15" spans="4:15" ht="14.45" customHeight="1" x14ac:dyDescent="0.25">
      <c r="D15" s="30" t="s">
        <v>30</v>
      </c>
      <c r="E15" s="29" t="s">
        <v>3</v>
      </c>
      <c r="F15" s="5">
        <f>SUMIFS(Cereals,date,F$6,sec,"Rural+Urban")</f>
        <v>137.80000000000001</v>
      </c>
      <c r="G15" s="5">
        <f>SUMIFS(Cereals,date,G$6,sec,"Rural+Urban")</f>
        <v>144.80000000000001</v>
      </c>
      <c r="H15" s="16">
        <f t="shared" si="0"/>
        <v>5.079825834542815E-2</v>
      </c>
      <c r="J15" s="25"/>
      <c r="K15" s="143" t="s">
        <v>30</v>
      </c>
      <c r="L15" s="29" t="s">
        <v>8</v>
      </c>
      <c r="M15" s="5">
        <f>SUMIFS(fruits,date,M$6,sec,"Rural+Urban")</f>
        <v>142.5</v>
      </c>
      <c r="N15" s="5">
        <f>SUMIFS(fruits,date,N$6,sec,"Rural+Urban")</f>
        <v>150.69999999999999</v>
      </c>
      <c r="O15" s="16">
        <f t="shared" si="1"/>
        <v>5.7543859649122731E-2</v>
      </c>
    </row>
    <row r="16" spans="4:15" x14ac:dyDescent="0.25">
      <c r="D16" s="30" t="s">
        <v>24</v>
      </c>
      <c r="E16" s="29" t="s">
        <v>24</v>
      </c>
      <c r="F16" s="5">
        <f>SUMIFS(trans,date,F$6,sec,"Rural+Urban")</f>
        <v>124.6</v>
      </c>
      <c r="G16" s="5">
        <f>SUMIFS(trans,date,G$6,sec,"Rural+Urban")</f>
        <v>130.30000000000001</v>
      </c>
      <c r="H16" s="16">
        <f t="shared" si="0"/>
        <v>4.5746388443017795E-2</v>
      </c>
      <c r="K16" s="144"/>
      <c r="L16" s="29" t="s">
        <v>14</v>
      </c>
      <c r="M16" s="5">
        <f>SUMIFS(prefood,date,M$6,sec,"Rural+Urban")</f>
        <v>159.6</v>
      </c>
      <c r="N16" s="5">
        <f>SUMIFS(prefood,date,N$6,sec,"Rural+Urban")</f>
        <v>167.5</v>
      </c>
      <c r="O16" s="16">
        <f t="shared" si="1"/>
        <v>4.9498746867167959E-2</v>
      </c>
    </row>
    <row r="17" spans="4:20" x14ac:dyDescent="0.25">
      <c r="D17" s="30" t="s">
        <v>30</v>
      </c>
      <c r="E17" s="29" t="s">
        <v>11</v>
      </c>
      <c r="F17" s="5">
        <f>SUMIFS(sugar,date,F$6,sec,"Rural+Urban")</f>
        <v>109</v>
      </c>
      <c r="G17" s="5">
        <f>SUMIFS(sugar,date,G$6,sec,"Rural+Urban")</f>
        <v>113.6</v>
      </c>
      <c r="H17" s="16">
        <f t="shared" si="0"/>
        <v>4.2201834862385268E-2</v>
      </c>
      <c r="K17" s="30" t="s">
        <v>21</v>
      </c>
      <c r="L17" s="29" t="s">
        <v>21</v>
      </c>
      <c r="M17" s="5">
        <f>SUMIFS(fuel,date,M$6,sec,"Rural+Urban")</f>
        <v>148.9</v>
      </c>
      <c r="N17" s="5">
        <f>SUMIFS(fuel,date,N$6,sec,"Rural+Urban")</f>
        <v>152.4</v>
      </c>
      <c r="O17" s="16">
        <f t="shared" si="1"/>
        <v>2.3505708529214239E-2</v>
      </c>
    </row>
    <row r="18" spans="4:20" x14ac:dyDescent="0.25">
      <c r="D18" s="30" t="s">
        <v>23</v>
      </c>
      <c r="E18" s="29" t="s">
        <v>23</v>
      </c>
      <c r="F18" s="5">
        <f>SUMIFS(health,date,F$6,sec,"Rural+Urban")</f>
        <v>146.19999999999999</v>
      </c>
      <c r="G18" s="5">
        <f>SUMIFS(health,date,G$6,sec,"Rural+Urban")</f>
        <v>151.69999999999999</v>
      </c>
      <c r="H18" s="16">
        <f t="shared" si="0"/>
        <v>3.761969904240766E-2</v>
      </c>
      <c r="K18" s="142" t="s">
        <v>30</v>
      </c>
      <c r="L18" s="29" t="s">
        <v>6</v>
      </c>
      <c r="M18" s="5">
        <f>SUMIFS(milk,date,M$6,sec,"Rural+Urban")</f>
        <v>151.5</v>
      </c>
      <c r="N18" s="5">
        <f>SUMIFS(milk,date,N$6,sec,"Rural+Urban")</f>
        <v>154.69999999999999</v>
      </c>
      <c r="O18" s="16">
        <f t="shared" si="1"/>
        <v>2.1122112211221046E-2</v>
      </c>
    </row>
    <row r="19" spans="4:20" ht="14.45" customHeight="1" x14ac:dyDescent="0.25">
      <c r="D19" s="142" t="s">
        <v>30</v>
      </c>
      <c r="E19" s="29" t="s">
        <v>8</v>
      </c>
      <c r="F19" s="5">
        <f>SUMIFS(fruits,date,F$6,sec,"Rural+Urban")</f>
        <v>137.6</v>
      </c>
      <c r="G19" s="5">
        <f>SUMIFS(fruits,date,G$6,sec,"Rural+Urban")</f>
        <v>141.80000000000001</v>
      </c>
      <c r="H19" s="16">
        <f t="shared" si="0"/>
        <v>3.0523255813953612E-2</v>
      </c>
      <c r="K19" s="142"/>
      <c r="L19" s="29" t="s">
        <v>9</v>
      </c>
      <c r="M19" s="5">
        <f>SUMIFS(Vege,date,M$6,sec,"Rural+Urban")</f>
        <v>157.30000000000001</v>
      </c>
      <c r="N19" s="5">
        <f>SUMIFS(Vege,date,N$6,sec,"Rural+Urban")</f>
        <v>160</v>
      </c>
      <c r="O19" s="16">
        <f t="shared" si="1"/>
        <v>1.716465352828982E-2</v>
      </c>
    </row>
    <row r="20" spans="4:20" x14ac:dyDescent="0.25">
      <c r="D20" s="142"/>
      <c r="E20" s="29" t="s">
        <v>14</v>
      </c>
      <c r="F20" s="5">
        <f>SUMIFS(prefood,date,F$6,sec,"Rural+Urban")</f>
        <v>155.19999999999999</v>
      </c>
      <c r="G20" s="5">
        <f>SUMIFS(prefood,date,G$6,sec,"Rural+Urban")</f>
        <v>159.1</v>
      </c>
      <c r="H20" s="16">
        <f t="shared" si="0"/>
        <v>2.5128865979381482E-2</v>
      </c>
      <c r="K20" s="142"/>
      <c r="L20" s="29" t="s">
        <v>11</v>
      </c>
      <c r="M20" s="5">
        <f>SUMIFS(sugar,date,M$6,sec,"Rural+Urban")</f>
        <v>113.2</v>
      </c>
      <c r="N20" s="5">
        <f>SUMIFS(sugar,date,N$6,sec,"Rural+Urban")</f>
        <v>112.8</v>
      </c>
      <c r="O20" s="16">
        <f t="shared" si="1"/>
        <v>-3.5335689045936898E-3</v>
      </c>
    </row>
    <row r="21" spans="4:20" x14ac:dyDescent="0.25">
      <c r="D21" s="142"/>
      <c r="E21" s="29" t="s">
        <v>13</v>
      </c>
      <c r="F21" s="5">
        <f>SUMIFS(NonAlco,date,F$6,sec,"Rural+Urban")</f>
        <v>133.69999999999999</v>
      </c>
      <c r="G21" s="5">
        <f>SUMIFS(NonAlco,date,G$6,sec,"Rural+Urban")</f>
        <v>136.5</v>
      </c>
      <c r="H21" s="16">
        <f t="shared" si="0"/>
        <v>2.0942408376963439E-2</v>
      </c>
      <c r="K21" s="142"/>
      <c r="L21" s="29" t="s">
        <v>3</v>
      </c>
      <c r="M21" s="5">
        <f>SUMIFS(Cereals,date,M$6,sec,"Rural+Urban")</f>
        <v>145.1</v>
      </c>
      <c r="N21" s="5">
        <f>SUMIFS(Cereals,date,N$6,sec,"Rural+Urban")</f>
        <v>144.30000000000001</v>
      </c>
      <c r="O21" s="16">
        <f t="shared" si="1"/>
        <v>-5.5134390075808615E-3</v>
      </c>
    </row>
    <row r="25" spans="4:20" ht="15.75" x14ac:dyDescent="0.25">
      <c r="D25" s="138" t="s">
        <v>116</v>
      </c>
      <c r="E25" s="138"/>
      <c r="F25" s="138"/>
      <c r="K25" s="138" t="s">
        <v>116</v>
      </c>
      <c r="L25" s="138"/>
      <c r="M25" s="138"/>
    </row>
    <row r="27" spans="4:20" x14ac:dyDescent="0.25">
      <c r="D27" s="34" t="s">
        <v>113</v>
      </c>
      <c r="E27" s="34" t="s">
        <v>86</v>
      </c>
      <c r="F27" s="34" t="s">
        <v>112</v>
      </c>
      <c r="G27" s="33"/>
      <c r="K27" s="37" t="s">
        <v>113</v>
      </c>
      <c r="L27" s="37" t="s">
        <v>86</v>
      </c>
      <c r="M27" s="38" t="s">
        <v>112</v>
      </c>
    </row>
    <row r="28" spans="4:20" ht="14.45" customHeight="1" x14ac:dyDescent="0.25">
      <c r="D28" s="132" t="s">
        <v>30</v>
      </c>
      <c r="E28" s="35" t="s">
        <v>9</v>
      </c>
      <c r="F28" s="36">
        <v>0.28733031674208143</v>
      </c>
      <c r="K28" s="135" t="s">
        <v>30</v>
      </c>
      <c r="L28" s="35" t="s">
        <v>7</v>
      </c>
      <c r="M28" s="36">
        <v>0.20960365853658539</v>
      </c>
    </row>
    <row r="29" spans="4:20" x14ac:dyDescent="0.25">
      <c r="D29" s="133"/>
      <c r="E29" s="35" t="s">
        <v>10</v>
      </c>
      <c r="F29" s="36">
        <v>0.15845648604269291</v>
      </c>
      <c r="K29" s="136"/>
      <c r="L29" s="35" t="s">
        <v>5</v>
      </c>
      <c r="M29" s="36">
        <v>0.13909520594193109</v>
      </c>
    </row>
    <row r="30" spans="4:20" x14ac:dyDescent="0.25">
      <c r="D30" s="133"/>
      <c r="E30" s="35" t="s">
        <v>4</v>
      </c>
      <c r="F30" s="36">
        <v>9.4771241830065356E-2</v>
      </c>
      <c r="K30" s="136"/>
      <c r="L30" s="35" t="s">
        <v>13</v>
      </c>
      <c r="M30" s="36">
        <v>0.13752743233357728</v>
      </c>
    </row>
    <row r="31" spans="4:20" x14ac:dyDescent="0.25">
      <c r="D31" s="133"/>
      <c r="E31" s="35" t="s">
        <v>12</v>
      </c>
      <c r="F31" s="36">
        <v>8.9605734767025089E-2</v>
      </c>
      <c r="K31" s="137"/>
      <c r="L31" s="35" t="s">
        <v>10</v>
      </c>
      <c r="M31" s="36">
        <v>0.12544294826364294</v>
      </c>
      <c r="T31" s="6"/>
    </row>
    <row r="32" spans="4:20" x14ac:dyDescent="0.25">
      <c r="D32" s="134"/>
      <c r="E32" s="35" t="s">
        <v>5</v>
      </c>
      <c r="F32" s="36">
        <v>8.1967213114754092E-2</v>
      </c>
      <c r="K32" s="30" t="s">
        <v>117</v>
      </c>
      <c r="L32" s="35" t="s">
        <v>24</v>
      </c>
      <c r="M32" s="36">
        <v>0.11701308698999222</v>
      </c>
    </row>
    <row r="53" spans="2:13" x14ac:dyDescent="0.25">
      <c r="B53" s="1"/>
      <c r="C53" s="1"/>
      <c r="D53" s="1"/>
      <c r="E53" s="1"/>
      <c r="F53" s="1"/>
      <c r="G53" s="1"/>
      <c r="H53" s="1"/>
    </row>
    <row r="54" spans="2:13" x14ac:dyDescent="0.25">
      <c r="B54" s="1"/>
      <c r="C54" s="1"/>
      <c r="D54" s="57" t="s">
        <v>86</v>
      </c>
      <c r="E54" s="57" t="s">
        <v>128</v>
      </c>
      <c r="F54" s="1"/>
      <c r="G54" s="1"/>
      <c r="H54" s="1"/>
    </row>
    <row r="55" spans="2:13" x14ac:dyDescent="0.25">
      <c r="B55" s="1"/>
      <c r="D55" s="65" t="s">
        <v>30</v>
      </c>
      <c r="E55" s="66">
        <f>SUMIF(D7:D21,"Food &amp; Beverages",H7:H21)</f>
        <v>0.41085366576384846</v>
      </c>
      <c r="F55" s="1"/>
      <c r="G55" s="1"/>
      <c r="H55" s="1"/>
    </row>
    <row r="56" spans="2:13" ht="14.45" customHeight="1" x14ac:dyDescent="0.25">
      <c r="B56" s="1"/>
      <c r="D56" s="49" t="s">
        <v>23</v>
      </c>
      <c r="E56" s="66">
        <v>3.7999999999999999E-2</v>
      </c>
      <c r="F56" s="1"/>
      <c r="G56" s="1"/>
      <c r="H56" s="1"/>
      <c r="I56" s="1"/>
      <c r="J56" s="1"/>
    </row>
    <row r="57" spans="2:13" x14ac:dyDescent="0.25">
      <c r="B57" s="1"/>
      <c r="D57" s="49" t="s">
        <v>180</v>
      </c>
      <c r="E57" s="66">
        <f>H16+H14</f>
        <v>9.9432859452323455E-2</v>
      </c>
      <c r="F57" s="1"/>
      <c r="G57" s="1"/>
      <c r="H57" s="1"/>
      <c r="I57" s="1"/>
      <c r="J57" s="1"/>
    </row>
    <row r="58" spans="2:13" x14ac:dyDescent="0.25">
      <c r="B58" s="1"/>
      <c r="E58" s="1"/>
      <c r="F58" s="1"/>
      <c r="G58" s="1"/>
      <c r="H58" s="1"/>
      <c r="I58" s="1"/>
      <c r="J58" s="1"/>
    </row>
    <row r="59" spans="2:13" x14ac:dyDescent="0.25">
      <c r="B59" s="1"/>
      <c r="C59" s="1"/>
      <c r="D59" s="1"/>
      <c r="F59" s="1"/>
      <c r="G59" s="1"/>
      <c r="H59" s="1"/>
      <c r="I59" s="1"/>
      <c r="J59" s="1"/>
    </row>
    <row r="60" spans="2:13" ht="14.45" customHeight="1" x14ac:dyDescent="0.25">
      <c r="B60" s="1"/>
      <c r="C60" s="1"/>
      <c r="D60" s="1"/>
      <c r="E60" s="1"/>
      <c r="F60" s="1"/>
      <c r="G60" s="1"/>
      <c r="H60" s="1"/>
      <c r="I60" s="1"/>
      <c r="J60" s="1"/>
    </row>
    <row r="61" spans="2:13" x14ac:dyDescent="0.25">
      <c r="B61" s="1"/>
      <c r="C61" s="1"/>
      <c r="D61" s="1"/>
      <c r="E61" s="1"/>
      <c r="F61" s="1"/>
      <c r="G61" s="1"/>
      <c r="H61" s="1"/>
      <c r="I61" s="1"/>
      <c r="J61" s="1"/>
    </row>
    <row r="62" spans="2:13" x14ac:dyDescent="0.25">
      <c r="B62" s="1"/>
      <c r="C62" s="1"/>
      <c r="D62" s="1"/>
      <c r="E62" s="1"/>
      <c r="F62" s="1"/>
      <c r="G62" s="1"/>
      <c r="H62" s="1"/>
      <c r="I62" s="1"/>
      <c r="J62" s="1"/>
      <c r="L62" s="67" t="s">
        <v>86</v>
      </c>
      <c r="M62" s="67" t="s">
        <v>128</v>
      </c>
    </row>
    <row r="63" spans="2:13" x14ac:dyDescent="0.25">
      <c r="B63" s="1"/>
      <c r="C63" s="1"/>
      <c r="D63" s="1"/>
      <c r="E63" s="1"/>
      <c r="F63" s="1"/>
      <c r="G63" s="1"/>
      <c r="H63" s="1"/>
      <c r="I63" s="1"/>
      <c r="J63" s="1"/>
      <c r="K63" s="60"/>
      <c r="L63" s="65" t="s">
        <v>30</v>
      </c>
      <c r="M63" s="68">
        <f>SUMIF(K7:K21,"Food &amp; Beverages",O7:O21)</f>
        <v>0.40503609746279745</v>
      </c>
    </row>
    <row r="64" spans="2:13" x14ac:dyDescent="0.25">
      <c r="B64" s="1"/>
      <c r="C64" s="1"/>
      <c r="D64" s="1"/>
      <c r="E64" s="1"/>
      <c r="F64" s="1"/>
      <c r="G64" s="1"/>
      <c r="H64" s="1"/>
      <c r="I64" s="1"/>
      <c r="J64" s="1"/>
      <c r="L64" s="49" t="s">
        <v>23</v>
      </c>
      <c r="M64" s="69">
        <v>5.8999999999999997E-2</v>
      </c>
    </row>
    <row r="65" spans="2:13" ht="14.45" customHeight="1" x14ac:dyDescent="0.25">
      <c r="B65" s="1"/>
      <c r="C65" s="1"/>
      <c r="D65" s="1"/>
      <c r="E65" s="1"/>
      <c r="F65" s="1"/>
      <c r="G65" s="1"/>
      <c r="H65" s="1"/>
      <c r="I65" s="1"/>
      <c r="J65" s="1"/>
      <c r="L65" s="49" t="s">
        <v>180</v>
      </c>
      <c r="M65" s="68">
        <f>O17+O14+O11</f>
        <v>0.19961268915019792</v>
      </c>
    </row>
    <row r="66" spans="2:13" x14ac:dyDescent="0.25">
      <c r="B66" s="1"/>
      <c r="C66" s="1"/>
      <c r="D66" s="1"/>
      <c r="E66" s="1"/>
      <c r="F66" s="1"/>
      <c r="G66" s="1"/>
      <c r="H66" s="1"/>
      <c r="I66" s="1"/>
      <c r="J66" s="1"/>
    </row>
    <row r="67" spans="2:13" x14ac:dyDescent="0.25">
      <c r="B67" s="1"/>
      <c r="C67" s="1"/>
      <c r="D67" s="1"/>
      <c r="E67" s="1"/>
      <c r="F67" s="1"/>
      <c r="G67" s="1"/>
      <c r="H67" s="1"/>
      <c r="I67" s="1"/>
      <c r="J67" s="1"/>
    </row>
    <row r="68" spans="2:13" x14ac:dyDescent="0.25">
      <c r="B68" s="1"/>
      <c r="C68" s="1"/>
      <c r="D68" s="1"/>
      <c r="E68" s="1"/>
      <c r="F68" s="1"/>
      <c r="G68" s="1"/>
      <c r="H68" s="1"/>
      <c r="I68" s="1"/>
      <c r="J68" s="1"/>
    </row>
    <row r="86" spans="6:12" x14ac:dyDescent="0.25">
      <c r="F86" s="125" t="s">
        <v>181</v>
      </c>
      <c r="G86" s="125"/>
      <c r="H86" s="125"/>
      <c r="I86" s="125"/>
      <c r="J86" s="125"/>
      <c r="K86" s="125"/>
      <c r="L86" s="125"/>
    </row>
    <row r="87" spans="6:12" x14ac:dyDescent="0.25">
      <c r="F87" s="125"/>
      <c r="G87" s="125"/>
      <c r="H87" s="125"/>
      <c r="I87" s="125"/>
      <c r="J87" s="125"/>
      <c r="K87" s="125"/>
      <c r="L87" s="125"/>
    </row>
    <row r="88" spans="6:12" x14ac:dyDescent="0.25">
      <c r="F88" s="125"/>
      <c r="G88" s="125"/>
      <c r="H88" s="125"/>
      <c r="I88" s="125"/>
      <c r="J88" s="125"/>
      <c r="K88" s="125"/>
      <c r="L88" s="125"/>
    </row>
    <row r="90" spans="6:12" x14ac:dyDescent="0.25">
      <c r="F90" s="126" t="s">
        <v>182</v>
      </c>
      <c r="G90" s="127"/>
      <c r="H90" s="127"/>
      <c r="I90" s="127"/>
      <c r="J90" s="127"/>
      <c r="K90" s="127"/>
      <c r="L90" s="127"/>
    </row>
    <row r="91" spans="6:12" x14ac:dyDescent="0.25">
      <c r="F91" s="127"/>
      <c r="G91" s="127"/>
      <c r="H91" s="127"/>
      <c r="I91" s="127"/>
      <c r="J91" s="127"/>
      <c r="K91" s="127"/>
      <c r="L91" s="127"/>
    </row>
    <row r="92" spans="6:12" x14ac:dyDescent="0.25">
      <c r="F92" s="127"/>
      <c r="G92" s="127"/>
      <c r="H92" s="127"/>
      <c r="I92" s="127"/>
      <c r="J92" s="127"/>
      <c r="K92" s="127"/>
      <c r="L92" s="127"/>
    </row>
    <row r="93" spans="6:12" x14ac:dyDescent="0.25">
      <c r="F93" s="127"/>
      <c r="G93" s="127"/>
      <c r="H93" s="127"/>
      <c r="I93" s="127"/>
      <c r="J93" s="127"/>
      <c r="K93" s="127"/>
      <c r="L93" s="127"/>
    </row>
    <row r="95" spans="6:12" x14ac:dyDescent="0.25">
      <c r="F95" s="128" t="s">
        <v>183</v>
      </c>
      <c r="G95" s="129"/>
      <c r="H95" s="129"/>
      <c r="I95" s="129"/>
      <c r="J95" s="129"/>
      <c r="K95" s="129"/>
      <c r="L95" s="129"/>
    </row>
    <row r="96" spans="6:12" x14ac:dyDescent="0.25">
      <c r="F96" s="129"/>
      <c r="G96" s="129"/>
      <c r="H96" s="129"/>
      <c r="I96" s="129"/>
      <c r="J96" s="129"/>
      <c r="K96" s="129"/>
      <c r="L96" s="129"/>
    </row>
    <row r="97" spans="6:12" x14ac:dyDescent="0.25">
      <c r="F97" s="129"/>
      <c r="G97" s="129"/>
      <c r="H97" s="129"/>
      <c r="I97" s="129"/>
      <c r="J97" s="129"/>
      <c r="K97" s="129"/>
      <c r="L97" s="129"/>
    </row>
  </sheetData>
  <sortState ref="L7:O21">
    <sortCondition descending="1" ref="O7:O21"/>
  </sortState>
  <mergeCells count="16">
    <mergeCell ref="F86:L88"/>
    <mergeCell ref="F90:L93"/>
    <mergeCell ref="F95:L97"/>
    <mergeCell ref="D1:K1"/>
    <mergeCell ref="D4:H4"/>
    <mergeCell ref="K4:O4"/>
    <mergeCell ref="D28:D32"/>
    <mergeCell ref="K28:K31"/>
    <mergeCell ref="D25:F25"/>
    <mergeCell ref="K25:M25"/>
    <mergeCell ref="K7:K10"/>
    <mergeCell ref="K12:K13"/>
    <mergeCell ref="D7:D13"/>
    <mergeCell ref="D19:D21"/>
    <mergeCell ref="K15:K16"/>
    <mergeCell ref="K18:K2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7"/>
  <sheetViews>
    <sheetView showGridLines="0" workbookViewId="0">
      <selection activeCell="AP24" sqref="AP24"/>
    </sheetView>
  </sheetViews>
  <sheetFormatPr defaultRowHeight="15" x14ac:dyDescent="0.25"/>
  <cols>
    <col min="1" max="1" width="40.28515625" bestFit="1" customWidth="1"/>
    <col min="2" max="2" width="13.28515625" customWidth="1"/>
    <col min="3" max="7" width="8.85546875" bestFit="1" customWidth="1"/>
    <col min="8" max="10" width="9.42578125" bestFit="1" customWidth="1"/>
    <col min="11" max="19" width="8.85546875" bestFit="1" customWidth="1"/>
    <col min="20" max="22" width="9.42578125" bestFit="1" customWidth="1"/>
    <col min="23" max="24" width="8.85546875" bestFit="1" customWidth="1"/>
    <col min="25" max="25" width="10.5703125" bestFit="1" customWidth="1"/>
    <col min="26" max="27" width="8.85546875" bestFit="1" customWidth="1"/>
    <col min="28" max="28" width="3.42578125" customWidth="1"/>
    <col min="29" max="29" width="2.5703125" customWidth="1"/>
    <col min="31" max="31" width="9.140625" customWidth="1"/>
    <col min="32" max="32" width="10.42578125" customWidth="1"/>
    <col min="33" max="33" width="2.85546875" customWidth="1"/>
    <col min="34" max="34" width="1.7109375" customWidth="1"/>
    <col min="35" max="35" width="8.85546875" customWidth="1"/>
    <col min="36" max="36" width="22.42578125" customWidth="1"/>
    <col min="37" max="37" width="35" customWidth="1"/>
    <col min="38" max="38" width="12.5703125" customWidth="1"/>
    <col min="39" max="39" width="32.5703125" customWidth="1"/>
    <col min="40" max="40" width="13.85546875" customWidth="1"/>
    <col min="41" max="41" width="34.28515625" customWidth="1"/>
    <col min="42" max="42" width="33.7109375" customWidth="1"/>
    <col min="43" max="44" width="9.42578125" bestFit="1" customWidth="1"/>
    <col min="45" max="47" width="10.42578125" bestFit="1" customWidth="1"/>
    <col min="48" max="56" width="9.42578125" bestFit="1" customWidth="1"/>
    <col min="57" max="59" width="10.42578125" bestFit="1" customWidth="1"/>
    <col min="60" max="62" width="9.42578125" bestFit="1" customWidth="1"/>
    <col min="65" max="65" width="12.42578125" customWidth="1"/>
  </cols>
  <sheetData>
    <row r="1" spans="1:42" ht="23.25" x14ac:dyDescent="0.35">
      <c r="B1" s="130" t="s">
        <v>187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42" ht="21" customHeight="1" x14ac:dyDescent="0.25"/>
    <row r="3" spans="1:42" ht="21" x14ac:dyDescent="0.35">
      <c r="C3" s="149" t="s">
        <v>177</v>
      </c>
      <c r="D3" s="149"/>
      <c r="E3" s="149"/>
      <c r="F3" s="149"/>
      <c r="G3" s="149"/>
      <c r="H3" s="149"/>
      <c r="I3" s="149"/>
    </row>
    <row r="4" spans="1:42" ht="14.45" customHeight="1" x14ac:dyDescent="0.25">
      <c r="A4" s="50" t="s">
        <v>0</v>
      </c>
      <c r="B4" s="50" t="s">
        <v>35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I4" s="146" t="s">
        <v>171</v>
      </c>
      <c r="AJ4" s="146"/>
      <c r="AK4" s="146"/>
      <c r="AL4" s="53"/>
      <c r="AM4" s="147" t="s">
        <v>172</v>
      </c>
      <c r="AN4" s="148"/>
      <c r="AO4" s="148"/>
      <c r="AP4" s="148"/>
    </row>
    <row r="5" spans="1:42" ht="14.45" customHeight="1" x14ac:dyDescent="0.25">
      <c r="A5" s="78" t="s">
        <v>130</v>
      </c>
      <c r="B5" s="79">
        <v>44287</v>
      </c>
      <c r="C5" s="79">
        <v>44317</v>
      </c>
      <c r="D5" s="79">
        <v>44348</v>
      </c>
      <c r="E5" s="79">
        <v>44378</v>
      </c>
      <c r="F5" s="79">
        <v>44409</v>
      </c>
      <c r="G5" s="79">
        <v>44440</v>
      </c>
      <c r="H5" s="79">
        <v>44470</v>
      </c>
      <c r="I5" s="79">
        <v>44501</v>
      </c>
      <c r="J5" s="79">
        <v>44531</v>
      </c>
      <c r="K5" s="79">
        <v>44562</v>
      </c>
      <c r="L5" s="79">
        <v>44593</v>
      </c>
      <c r="M5" s="79">
        <v>44621</v>
      </c>
      <c r="N5" s="79">
        <v>44652</v>
      </c>
      <c r="O5" s="79">
        <v>44682</v>
      </c>
      <c r="P5" s="79">
        <v>44713</v>
      </c>
      <c r="Q5" s="79">
        <v>44743</v>
      </c>
      <c r="R5" s="79">
        <v>44774</v>
      </c>
      <c r="S5" s="79">
        <v>44805</v>
      </c>
      <c r="T5" s="79">
        <v>44835</v>
      </c>
      <c r="U5" s="79">
        <v>44866</v>
      </c>
      <c r="V5" s="79">
        <v>44896</v>
      </c>
      <c r="W5" s="79">
        <v>44927</v>
      </c>
      <c r="X5" s="79">
        <v>44958</v>
      </c>
      <c r="Y5" s="79">
        <v>44986</v>
      </c>
      <c r="Z5" s="79">
        <v>45017</v>
      </c>
      <c r="AA5" s="79">
        <v>45047</v>
      </c>
      <c r="AI5" s="146"/>
      <c r="AJ5" s="146"/>
      <c r="AK5" s="146"/>
      <c r="AL5" s="53"/>
      <c r="AM5" s="148"/>
      <c r="AN5" s="148"/>
      <c r="AO5" s="148"/>
      <c r="AP5" s="148"/>
    </row>
    <row r="6" spans="1:42" x14ac:dyDescent="0.25">
      <c r="A6" s="52" t="s">
        <v>144</v>
      </c>
      <c r="B6" s="5">
        <f t="shared" ref="B6:AA6" si="0">AVERAGEIFS(Cereals,sec,$B$4,date,B$5)</f>
        <v>144.30000000000001</v>
      </c>
      <c r="C6" s="5">
        <f t="shared" si="0"/>
        <v>146.30000000000001</v>
      </c>
      <c r="D6" s="5">
        <f t="shared" si="0"/>
        <v>146.69999999999999</v>
      </c>
      <c r="E6" s="5">
        <f t="shared" si="0"/>
        <v>146.4</v>
      </c>
      <c r="F6" s="5">
        <f t="shared" si="0"/>
        <v>146.6</v>
      </c>
      <c r="G6" s="5">
        <f>AVERAGEIFS(Cereals,sec,$B$4,date,G$5)</f>
        <v>146.6</v>
      </c>
      <c r="H6" s="5">
        <f t="shared" si="0"/>
        <v>147.4</v>
      </c>
      <c r="I6" s="5">
        <f t="shared" si="0"/>
        <v>148.19999999999999</v>
      </c>
      <c r="J6" s="5">
        <f t="shared" si="0"/>
        <v>148.69999999999999</v>
      </c>
      <c r="K6" s="5">
        <f t="shared" si="0"/>
        <v>149.5</v>
      </c>
      <c r="L6" s="5">
        <f t="shared" si="0"/>
        <v>150</v>
      </c>
      <c r="M6" s="5">
        <f t="shared" si="0"/>
        <v>151.30000000000001</v>
      </c>
      <c r="N6" s="5">
        <f t="shared" si="0"/>
        <v>152.9</v>
      </c>
      <c r="O6" s="5">
        <f t="shared" si="0"/>
        <v>154.1</v>
      </c>
      <c r="P6" s="5">
        <f t="shared" si="0"/>
        <v>155</v>
      </c>
      <c r="Q6" s="5">
        <f t="shared" si="0"/>
        <v>156.5</v>
      </c>
      <c r="R6" s="5">
        <f t="shared" si="0"/>
        <v>160.30000000000001</v>
      </c>
      <c r="S6" s="5">
        <f t="shared" si="0"/>
        <v>163.5</v>
      </c>
      <c r="T6" s="5">
        <f t="shared" si="0"/>
        <v>165.2</v>
      </c>
      <c r="U6" s="5">
        <f t="shared" si="0"/>
        <v>167.4</v>
      </c>
      <c r="V6" s="5">
        <f t="shared" si="0"/>
        <v>169.2</v>
      </c>
      <c r="W6" s="5">
        <f t="shared" si="0"/>
        <v>173.8</v>
      </c>
      <c r="X6" s="5">
        <f t="shared" si="0"/>
        <v>174.4</v>
      </c>
      <c r="Y6" s="5">
        <f t="shared" si="0"/>
        <v>174.4</v>
      </c>
      <c r="Z6" s="5">
        <f t="shared" si="0"/>
        <v>173.8</v>
      </c>
      <c r="AA6" s="5">
        <f t="shared" si="0"/>
        <v>173.7</v>
      </c>
      <c r="AI6" s="57" t="s">
        <v>1</v>
      </c>
      <c r="AJ6" s="57" t="s">
        <v>173</v>
      </c>
      <c r="AK6" s="57" t="s">
        <v>174</v>
      </c>
      <c r="AM6" s="56" t="s">
        <v>130</v>
      </c>
      <c r="AN6" s="56" t="s">
        <v>0</v>
      </c>
      <c r="AO6" s="56" t="s">
        <v>175</v>
      </c>
      <c r="AP6" s="56" t="s">
        <v>176</v>
      </c>
    </row>
    <row r="7" spans="1:42" x14ac:dyDescent="0.25">
      <c r="A7" s="52" t="s">
        <v>145</v>
      </c>
      <c r="B7" s="5">
        <f t="shared" ref="B7:AA7" si="1">AVERAGEIFS(meat,sec,$B$4,date,B$5)</f>
        <v>198</v>
      </c>
      <c r="C7" s="5">
        <f t="shared" si="1"/>
        <v>200.5</v>
      </c>
      <c r="D7" s="5">
        <f t="shared" si="1"/>
        <v>202</v>
      </c>
      <c r="E7" s="5">
        <f t="shared" si="1"/>
        <v>206.8</v>
      </c>
      <c r="F7" s="5">
        <f t="shared" si="1"/>
        <v>204</v>
      </c>
      <c r="G7" s="5">
        <f t="shared" si="1"/>
        <v>204</v>
      </c>
      <c r="H7" s="5">
        <f t="shared" si="1"/>
        <v>204.6</v>
      </c>
      <c r="I7" s="5">
        <f t="shared" si="1"/>
        <v>201.6</v>
      </c>
      <c r="J7" s="5">
        <f t="shared" si="1"/>
        <v>198.8</v>
      </c>
      <c r="K7" s="5">
        <f t="shared" si="1"/>
        <v>198.7</v>
      </c>
      <c r="L7" s="5">
        <f t="shared" si="1"/>
        <v>200.6</v>
      </c>
      <c r="M7" s="5">
        <f t="shared" si="1"/>
        <v>210.7</v>
      </c>
      <c r="N7" s="5">
        <f t="shared" si="1"/>
        <v>211.8</v>
      </c>
      <c r="O7" s="5">
        <f t="shared" si="1"/>
        <v>217</v>
      </c>
      <c r="P7" s="5">
        <f t="shared" si="1"/>
        <v>219.4</v>
      </c>
      <c r="Q7" s="5">
        <f t="shared" si="1"/>
        <v>213</v>
      </c>
      <c r="R7" s="5">
        <f t="shared" si="1"/>
        <v>206.5</v>
      </c>
      <c r="S7" s="5">
        <f t="shared" si="1"/>
        <v>209.2</v>
      </c>
      <c r="T7" s="5">
        <f t="shared" si="1"/>
        <v>210.9</v>
      </c>
      <c r="U7" s="5">
        <f t="shared" si="1"/>
        <v>209.4</v>
      </c>
      <c r="V7" s="5">
        <f t="shared" si="1"/>
        <v>209</v>
      </c>
      <c r="W7" s="5">
        <f t="shared" si="1"/>
        <v>210.7</v>
      </c>
      <c r="X7" s="5">
        <f t="shared" si="1"/>
        <v>207.7</v>
      </c>
      <c r="Y7" s="5">
        <f t="shared" si="1"/>
        <v>207.7</v>
      </c>
      <c r="Z7" s="5">
        <f t="shared" si="1"/>
        <v>209.3</v>
      </c>
      <c r="AA7" s="5">
        <f t="shared" si="1"/>
        <v>214.3</v>
      </c>
      <c r="AI7" s="58">
        <v>45403</v>
      </c>
      <c r="AJ7" s="54">
        <v>63309</v>
      </c>
      <c r="AK7" s="54">
        <v>74208</v>
      </c>
      <c r="AM7" s="55" t="s">
        <v>3</v>
      </c>
      <c r="AN7" s="55" t="s">
        <v>35</v>
      </c>
      <c r="AO7" s="64">
        <f t="shared" ref="AO7:AO33" si="2">CORREL($AJ$7:$AJ$30,B37:Y37)</f>
        <v>0.38366095069419615</v>
      </c>
      <c r="AP7" s="16">
        <f t="shared" ref="AP7:AP33" si="3">CORREL($AK$7:$AK$30,B37:Y37)</f>
        <v>0.39372805169929426</v>
      </c>
    </row>
    <row r="8" spans="1:42" x14ac:dyDescent="0.25">
      <c r="A8" s="52" t="s">
        <v>146</v>
      </c>
      <c r="B8" s="5">
        <f t="shared" ref="B8:AA8" si="4">AVERAGEIFS(egg,sec,$B$4,date,B$5)</f>
        <v>164.6</v>
      </c>
      <c r="C8" s="5">
        <f t="shared" si="4"/>
        <v>170.3</v>
      </c>
      <c r="D8" s="5">
        <f t="shared" si="4"/>
        <v>180.7</v>
      </c>
      <c r="E8" s="5">
        <f t="shared" si="4"/>
        <v>182.2</v>
      </c>
      <c r="F8" s="5">
        <f t="shared" si="4"/>
        <v>172.8</v>
      </c>
      <c r="G8" s="5">
        <f t="shared" si="4"/>
        <v>172.8</v>
      </c>
      <c r="H8" s="5">
        <f t="shared" si="4"/>
        <v>171.2</v>
      </c>
      <c r="I8" s="5">
        <f t="shared" si="4"/>
        <v>173</v>
      </c>
      <c r="J8" s="5">
        <f t="shared" si="4"/>
        <v>177.9</v>
      </c>
      <c r="K8" s="5">
        <f t="shared" si="4"/>
        <v>178.8</v>
      </c>
      <c r="L8" s="5">
        <f t="shared" si="4"/>
        <v>175.8</v>
      </c>
      <c r="M8" s="5">
        <f t="shared" si="4"/>
        <v>167.8</v>
      </c>
      <c r="N8" s="5">
        <f t="shared" si="4"/>
        <v>164.5</v>
      </c>
      <c r="O8" s="5">
        <f t="shared" si="4"/>
        <v>162.4</v>
      </c>
      <c r="P8" s="5">
        <f t="shared" si="4"/>
        <v>170.8</v>
      </c>
      <c r="Q8" s="5">
        <f t="shared" si="4"/>
        <v>175.2</v>
      </c>
      <c r="R8" s="5">
        <f t="shared" si="4"/>
        <v>169.2</v>
      </c>
      <c r="S8" s="5">
        <f t="shared" si="4"/>
        <v>169.7</v>
      </c>
      <c r="T8" s="5">
        <f t="shared" si="4"/>
        <v>170.9</v>
      </c>
      <c r="U8" s="5">
        <f t="shared" si="4"/>
        <v>181.4</v>
      </c>
      <c r="V8" s="5">
        <f t="shared" si="4"/>
        <v>190.2</v>
      </c>
      <c r="W8" s="5">
        <f t="shared" si="4"/>
        <v>194.5</v>
      </c>
      <c r="X8" s="5">
        <f t="shared" si="4"/>
        <v>175.2</v>
      </c>
      <c r="Y8" s="5">
        <f t="shared" si="4"/>
        <v>175.2</v>
      </c>
      <c r="Z8" s="5">
        <f t="shared" si="4"/>
        <v>169.6</v>
      </c>
      <c r="AA8" s="5">
        <f t="shared" si="4"/>
        <v>173.2</v>
      </c>
      <c r="AI8" s="58">
        <v>45433</v>
      </c>
      <c r="AJ8" s="54">
        <v>60800</v>
      </c>
      <c r="AK8" s="54">
        <v>70046</v>
      </c>
      <c r="AM8" s="55" t="s">
        <v>4</v>
      </c>
      <c r="AN8" s="55" t="s">
        <v>35</v>
      </c>
      <c r="AO8" s="64">
        <f t="shared" si="2"/>
        <v>0.77688985208576888</v>
      </c>
      <c r="AP8" s="16">
        <f t="shared" si="3"/>
        <v>0.77255557137499586</v>
      </c>
    </row>
    <row r="9" spans="1:42" x14ac:dyDescent="0.25">
      <c r="A9" s="52" t="s">
        <v>147</v>
      </c>
      <c r="B9" s="5">
        <f t="shared" ref="B9:AA9" si="5">AVERAGEIFS(milk,sec,$B$4,date,B$5)</f>
        <v>155.4</v>
      </c>
      <c r="C9" s="5">
        <f t="shared" si="5"/>
        <v>156.1</v>
      </c>
      <c r="D9" s="5">
        <f t="shared" si="5"/>
        <v>156.19999999999999</v>
      </c>
      <c r="E9" s="5">
        <f t="shared" si="5"/>
        <v>157.5</v>
      </c>
      <c r="F9" s="5">
        <f t="shared" si="5"/>
        <v>158.4</v>
      </c>
      <c r="G9" s="5">
        <f t="shared" si="5"/>
        <v>158.4</v>
      </c>
      <c r="H9" s="5">
        <f t="shared" si="5"/>
        <v>158.69999999999999</v>
      </c>
      <c r="I9" s="5">
        <f t="shared" si="5"/>
        <v>159.30000000000001</v>
      </c>
      <c r="J9" s="5">
        <f t="shared" si="5"/>
        <v>159.9</v>
      </c>
      <c r="K9" s="5">
        <f t="shared" si="5"/>
        <v>160.5</v>
      </c>
      <c r="L9" s="5">
        <f t="shared" si="5"/>
        <v>160.69999999999999</v>
      </c>
      <c r="M9" s="5">
        <f t="shared" si="5"/>
        <v>162.19999999999999</v>
      </c>
      <c r="N9" s="5">
        <f t="shared" si="5"/>
        <v>163.9</v>
      </c>
      <c r="O9" s="5">
        <f t="shared" si="5"/>
        <v>164.9</v>
      </c>
      <c r="P9" s="5">
        <f t="shared" si="5"/>
        <v>165.8</v>
      </c>
      <c r="Q9" s="5">
        <f t="shared" si="5"/>
        <v>166.6</v>
      </c>
      <c r="R9" s="5">
        <f t="shared" si="5"/>
        <v>168.1</v>
      </c>
      <c r="S9" s="5">
        <f t="shared" si="5"/>
        <v>169.7</v>
      </c>
      <c r="T9" s="5">
        <f t="shared" si="5"/>
        <v>170.9</v>
      </c>
      <c r="U9" s="5">
        <f t="shared" si="5"/>
        <v>172.3</v>
      </c>
      <c r="V9" s="5">
        <f t="shared" si="5"/>
        <v>173.6</v>
      </c>
      <c r="W9" s="5">
        <f t="shared" si="5"/>
        <v>174.6</v>
      </c>
      <c r="X9" s="5">
        <f t="shared" si="5"/>
        <v>177.3</v>
      </c>
      <c r="Y9" s="5">
        <f t="shared" si="5"/>
        <v>177.3</v>
      </c>
      <c r="Z9" s="5">
        <f t="shared" si="5"/>
        <v>178.4</v>
      </c>
      <c r="AA9" s="5">
        <f t="shared" si="5"/>
        <v>179.5</v>
      </c>
      <c r="AI9" s="58">
        <v>45464</v>
      </c>
      <c r="AJ9" s="54">
        <v>61073</v>
      </c>
      <c r="AK9" s="54">
        <v>71679</v>
      </c>
      <c r="AM9" s="55" t="s">
        <v>5</v>
      </c>
      <c r="AN9" s="55" t="s">
        <v>35</v>
      </c>
      <c r="AO9" s="64">
        <f t="shared" si="2"/>
        <v>-0.22999209803516488</v>
      </c>
      <c r="AP9" s="16">
        <f t="shared" si="3"/>
        <v>-0.21698221038329499</v>
      </c>
    </row>
    <row r="10" spans="1:42" x14ac:dyDescent="0.25">
      <c r="A10" s="52" t="s">
        <v>148</v>
      </c>
      <c r="B10" s="5">
        <f t="shared" ref="B10:AA10" si="6">AVERAGEIFS(fruits,sec,$B$4,date,B$5)</f>
        <v>164.4</v>
      </c>
      <c r="C10" s="5">
        <f t="shared" si="6"/>
        <v>167.1</v>
      </c>
      <c r="D10" s="5">
        <f t="shared" si="6"/>
        <v>164.6</v>
      </c>
      <c r="E10" s="5">
        <f t="shared" si="6"/>
        <v>163.9</v>
      </c>
      <c r="F10" s="5">
        <f t="shared" si="6"/>
        <v>156.80000000000001</v>
      </c>
      <c r="G10" s="5">
        <f t="shared" si="6"/>
        <v>156.69999999999999</v>
      </c>
      <c r="H10" s="5">
        <f t="shared" si="6"/>
        <v>155.69999999999999</v>
      </c>
      <c r="I10" s="5">
        <f t="shared" si="6"/>
        <v>156.5</v>
      </c>
      <c r="J10" s="5">
        <f t="shared" si="6"/>
        <v>154.9</v>
      </c>
      <c r="K10" s="5">
        <f t="shared" si="6"/>
        <v>153.69999999999999</v>
      </c>
      <c r="L10" s="5">
        <f t="shared" si="6"/>
        <v>153.69999999999999</v>
      </c>
      <c r="M10" s="5">
        <f t="shared" si="6"/>
        <v>157.6</v>
      </c>
      <c r="N10" s="5">
        <f t="shared" si="6"/>
        <v>172.6</v>
      </c>
      <c r="O10" s="5">
        <f t="shared" si="6"/>
        <v>171</v>
      </c>
      <c r="P10" s="5">
        <f t="shared" si="6"/>
        <v>169.7</v>
      </c>
      <c r="Q10" s="5">
        <f t="shared" si="6"/>
        <v>174.2</v>
      </c>
      <c r="R10" s="5">
        <f t="shared" si="6"/>
        <v>172.9</v>
      </c>
      <c r="S10" s="5">
        <f t="shared" si="6"/>
        <v>165.7</v>
      </c>
      <c r="T10" s="5">
        <f t="shared" si="6"/>
        <v>163.80000000000001</v>
      </c>
      <c r="U10" s="5">
        <f t="shared" si="6"/>
        <v>160.69999999999999</v>
      </c>
      <c r="V10" s="5">
        <f t="shared" si="6"/>
        <v>158</v>
      </c>
      <c r="W10" s="5">
        <f t="shared" si="6"/>
        <v>158.30000000000001</v>
      </c>
      <c r="X10" s="5">
        <f t="shared" si="6"/>
        <v>169.5</v>
      </c>
      <c r="Y10" s="5">
        <f t="shared" si="6"/>
        <v>169.5</v>
      </c>
      <c r="Z10" s="5">
        <f t="shared" si="6"/>
        <v>176.3</v>
      </c>
      <c r="AA10" s="5">
        <f t="shared" si="6"/>
        <v>172.2</v>
      </c>
      <c r="AI10" s="59">
        <v>45494</v>
      </c>
      <c r="AJ10" s="54">
        <v>59461</v>
      </c>
      <c r="AK10" s="54">
        <v>72860</v>
      </c>
      <c r="AM10" s="55" t="s">
        <v>6</v>
      </c>
      <c r="AN10" s="55" t="s">
        <v>35</v>
      </c>
      <c r="AO10" s="64">
        <f t="shared" si="2"/>
        <v>0.49262018728084284</v>
      </c>
      <c r="AP10" s="16">
        <f t="shared" si="3"/>
        <v>0.50472651759961396</v>
      </c>
    </row>
    <row r="11" spans="1:42" x14ac:dyDescent="0.25">
      <c r="A11" s="52" t="s">
        <v>149</v>
      </c>
      <c r="B11" s="5">
        <f t="shared" ref="B11:AA11" si="7">AVERAGEIFS(oils,sec,$B$4,date,B$5)</f>
        <v>170.1</v>
      </c>
      <c r="C11" s="5">
        <f t="shared" si="7"/>
        <v>178.7</v>
      </c>
      <c r="D11" s="5">
        <f t="shared" si="7"/>
        <v>183.7</v>
      </c>
      <c r="E11" s="5">
        <f t="shared" si="7"/>
        <v>182.1</v>
      </c>
      <c r="F11" s="5">
        <f t="shared" si="7"/>
        <v>188</v>
      </c>
      <c r="G11" s="5">
        <f t="shared" si="7"/>
        <v>188</v>
      </c>
      <c r="H11" s="5">
        <f t="shared" si="7"/>
        <v>190.6</v>
      </c>
      <c r="I11" s="5">
        <f t="shared" si="7"/>
        <v>190.1</v>
      </c>
      <c r="J11" s="5">
        <f t="shared" si="7"/>
        <v>187.6</v>
      </c>
      <c r="K11" s="5">
        <f t="shared" si="7"/>
        <v>184.7</v>
      </c>
      <c r="L11" s="5">
        <f t="shared" si="7"/>
        <v>184.9</v>
      </c>
      <c r="M11" s="5">
        <f t="shared" si="7"/>
        <v>194.6</v>
      </c>
      <c r="N11" s="5">
        <f t="shared" si="7"/>
        <v>199.5</v>
      </c>
      <c r="O11" s="5">
        <f t="shared" si="7"/>
        <v>202.4</v>
      </c>
      <c r="P11" s="5">
        <f t="shared" si="7"/>
        <v>200.9</v>
      </c>
      <c r="Q11" s="5">
        <f t="shared" si="7"/>
        <v>195.8</v>
      </c>
      <c r="R11" s="5">
        <f t="shared" si="7"/>
        <v>192.4</v>
      </c>
      <c r="S11" s="5">
        <f t="shared" si="7"/>
        <v>188.7</v>
      </c>
      <c r="T11" s="5">
        <f t="shared" si="7"/>
        <v>186.5</v>
      </c>
      <c r="U11" s="5">
        <f t="shared" si="7"/>
        <v>188.9</v>
      </c>
      <c r="V11" s="5">
        <f t="shared" si="7"/>
        <v>188.5</v>
      </c>
      <c r="W11" s="5">
        <f t="shared" si="7"/>
        <v>187.2</v>
      </c>
      <c r="X11" s="5">
        <f t="shared" si="7"/>
        <v>179.3</v>
      </c>
      <c r="Y11" s="5">
        <f t="shared" si="7"/>
        <v>179.2</v>
      </c>
      <c r="Z11" s="5">
        <f t="shared" si="7"/>
        <v>174.9</v>
      </c>
      <c r="AA11" s="5">
        <f t="shared" si="7"/>
        <v>170</v>
      </c>
      <c r="AI11" s="59">
        <v>45525</v>
      </c>
      <c r="AJ11" s="54">
        <v>67311</v>
      </c>
      <c r="AK11" s="54">
        <v>80983</v>
      </c>
      <c r="AM11" s="55" t="s">
        <v>8</v>
      </c>
      <c r="AN11" s="55" t="s">
        <v>35</v>
      </c>
      <c r="AO11" s="64">
        <f t="shared" si="2"/>
        <v>0.4735809527112626</v>
      </c>
      <c r="AP11" s="16">
        <f t="shared" si="3"/>
        <v>0.4425729396605832</v>
      </c>
    </row>
    <row r="12" spans="1:42" x14ac:dyDescent="0.25">
      <c r="A12" s="52" t="s">
        <v>150</v>
      </c>
      <c r="B12" s="5">
        <f t="shared" ref="B12:AA12" si="8">AVERAGEIFS(Vege,sec,$B$4,date,B$5)</f>
        <v>144.1</v>
      </c>
      <c r="C12" s="5">
        <f t="shared" si="8"/>
        <v>147.9</v>
      </c>
      <c r="D12" s="5">
        <f t="shared" si="8"/>
        <v>155.4</v>
      </c>
      <c r="E12" s="5">
        <f t="shared" si="8"/>
        <v>164.2</v>
      </c>
      <c r="F12" s="5">
        <f t="shared" si="8"/>
        <v>162.19999999999999</v>
      </c>
      <c r="G12" s="5">
        <f t="shared" si="8"/>
        <v>162.30000000000001</v>
      </c>
      <c r="H12" s="5">
        <f t="shared" si="8"/>
        <v>185.3</v>
      </c>
      <c r="I12" s="5">
        <f t="shared" si="8"/>
        <v>199.2</v>
      </c>
      <c r="J12" s="5">
        <f t="shared" si="8"/>
        <v>188.3</v>
      </c>
      <c r="K12" s="5">
        <f t="shared" si="8"/>
        <v>174.3</v>
      </c>
      <c r="L12" s="5">
        <f t="shared" si="8"/>
        <v>169.7</v>
      </c>
      <c r="M12" s="5">
        <f t="shared" si="8"/>
        <v>166.9</v>
      </c>
      <c r="N12" s="5">
        <f t="shared" si="8"/>
        <v>166.2</v>
      </c>
      <c r="O12" s="5">
        <f t="shared" si="8"/>
        <v>174.9</v>
      </c>
      <c r="P12" s="5">
        <f t="shared" si="8"/>
        <v>182.3</v>
      </c>
      <c r="Q12" s="5">
        <f t="shared" si="8"/>
        <v>182.1</v>
      </c>
      <c r="R12" s="5">
        <f t="shared" si="8"/>
        <v>186.7</v>
      </c>
      <c r="S12" s="5">
        <f t="shared" si="8"/>
        <v>191.8</v>
      </c>
      <c r="T12" s="5">
        <f t="shared" si="8"/>
        <v>199.7</v>
      </c>
      <c r="U12" s="5">
        <f t="shared" si="8"/>
        <v>183.1</v>
      </c>
      <c r="V12" s="5">
        <f t="shared" si="8"/>
        <v>159.9</v>
      </c>
      <c r="W12" s="5">
        <f t="shared" si="8"/>
        <v>153.9</v>
      </c>
      <c r="X12" s="5">
        <f t="shared" si="8"/>
        <v>152.69999999999999</v>
      </c>
      <c r="Y12" s="5">
        <f t="shared" si="8"/>
        <v>152.80000000000001</v>
      </c>
      <c r="Z12" s="5">
        <f t="shared" si="8"/>
        <v>155.4</v>
      </c>
      <c r="AA12" s="5">
        <f t="shared" si="8"/>
        <v>161</v>
      </c>
      <c r="AI12" s="59">
        <v>45556</v>
      </c>
      <c r="AJ12" s="54">
        <v>69110</v>
      </c>
      <c r="AK12" s="54">
        <v>83035</v>
      </c>
      <c r="AM12" s="55" t="s">
        <v>7</v>
      </c>
      <c r="AN12" s="55" t="s">
        <v>35</v>
      </c>
      <c r="AO12" s="64">
        <f t="shared" si="2"/>
        <v>0.76921432308331628</v>
      </c>
      <c r="AP12" s="16">
        <f t="shared" si="3"/>
        <v>0.77470173358588923</v>
      </c>
    </row>
    <row r="13" spans="1:42" x14ac:dyDescent="0.25">
      <c r="A13" s="52" t="s">
        <v>151</v>
      </c>
      <c r="B13" s="5">
        <f t="shared" ref="B13:AA13" si="9">AVERAGEIFS(pulses,sec,$B$4,date,B$5)</f>
        <v>161.69999999999999</v>
      </c>
      <c r="C13" s="5">
        <f t="shared" si="9"/>
        <v>165.4</v>
      </c>
      <c r="D13" s="5">
        <f t="shared" si="9"/>
        <v>166</v>
      </c>
      <c r="E13" s="5">
        <f t="shared" si="9"/>
        <v>164</v>
      </c>
      <c r="F13" s="5">
        <f t="shared" si="9"/>
        <v>164.1</v>
      </c>
      <c r="G13" s="5">
        <f t="shared" si="9"/>
        <v>164.1</v>
      </c>
      <c r="H13" s="5">
        <f t="shared" si="9"/>
        <v>165.2</v>
      </c>
      <c r="I13" s="5">
        <f t="shared" si="9"/>
        <v>165.3</v>
      </c>
      <c r="J13" s="5">
        <f t="shared" si="9"/>
        <v>164.4</v>
      </c>
      <c r="K13" s="5">
        <f t="shared" si="9"/>
        <v>163.9</v>
      </c>
      <c r="L13" s="5">
        <f t="shared" si="9"/>
        <v>163.69999999999999</v>
      </c>
      <c r="M13" s="5">
        <f t="shared" si="9"/>
        <v>163.9</v>
      </c>
      <c r="N13" s="5">
        <f t="shared" si="9"/>
        <v>164.7</v>
      </c>
      <c r="O13" s="5">
        <f t="shared" si="9"/>
        <v>164.7</v>
      </c>
      <c r="P13" s="5">
        <f t="shared" si="9"/>
        <v>164.3</v>
      </c>
      <c r="Q13" s="5">
        <f t="shared" si="9"/>
        <v>164.3</v>
      </c>
      <c r="R13" s="5">
        <f t="shared" si="9"/>
        <v>167.2</v>
      </c>
      <c r="S13" s="5">
        <f t="shared" si="9"/>
        <v>169.1</v>
      </c>
      <c r="T13" s="5">
        <f t="shared" si="9"/>
        <v>169.8</v>
      </c>
      <c r="U13" s="5">
        <f t="shared" si="9"/>
        <v>170.5</v>
      </c>
      <c r="V13" s="5">
        <f t="shared" si="9"/>
        <v>170.8</v>
      </c>
      <c r="W13" s="5">
        <f t="shared" si="9"/>
        <v>170.9</v>
      </c>
      <c r="X13" s="5">
        <f t="shared" si="9"/>
        <v>171</v>
      </c>
      <c r="Y13" s="5">
        <f t="shared" si="9"/>
        <v>171.1</v>
      </c>
      <c r="Z13" s="5">
        <f t="shared" si="9"/>
        <v>173.4</v>
      </c>
      <c r="AA13" s="5">
        <f t="shared" si="9"/>
        <v>175.6</v>
      </c>
      <c r="AI13" s="59">
        <v>45586</v>
      </c>
      <c r="AJ13" s="54">
        <v>72054</v>
      </c>
      <c r="AK13" s="54">
        <v>91472</v>
      </c>
      <c r="AM13" s="55" t="s">
        <v>9</v>
      </c>
      <c r="AN13" s="55" t="s">
        <v>35</v>
      </c>
      <c r="AO13" s="64">
        <f t="shared" si="2"/>
        <v>0.37988604533081849</v>
      </c>
      <c r="AP13" s="16">
        <f t="shared" si="3"/>
        <v>0.39369455799387443</v>
      </c>
    </row>
    <row r="14" spans="1:42" x14ac:dyDescent="0.25">
      <c r="A14" s="52" t="s">
        <v>152</v>
      </c>
      <c r="B14" s="5">
        <f t="shared" ref="B14:AA14" si="10">AVERAGEIFS(sugar,sec,$B$4,date,B$5)</f>
        <v>113.1</v>
      </c>
      <c r="C14" s="5">
        <f t="shared" si="10"/>
        <v>114.8</v>
      </c>
      <c r="D14" s="5">
        <f t="shared" si="10"/>
        <v>115.1</v>
      </c>
      <c r="E14" s="5">
        <f t="shared" si="10"/>
        <v>114.5</v>
      </c>
      <c r="F14" s="5">
        <f t="shared" si="10"/>
        <v>119.7</v>
      </c>
      <c r="G14" s="5">
        <f t="shared" si="10"/>
        <v>119.7</v>
      </c>
      <c r="H14" s="5">
        <f t="shared" si="10"/>
        <v>121.9</v>
      </c>
      <c r="I14" s="5">
        <f t="shared" si="10"/>
        <v>122.4</v>
      </c>
      <c r="J14" s="5">
        <f t="shared" si="10"/>
        <v>121</v>
      </c>
      <c r="K14" s="5">
        <f t="shared" si="10"/>
        <v>120</v>
      </c>
      <c r="L14" s="5">
        <f t="shared" si="10"/>
        <v>118.9</v>
      </c>
      <c r="M14" s="5">
        <f t="shared" si="10"/>
        <v>118.8</v>
      </c>
      <c r="N14" s="5">
        <f t="shared" si="10"/>
        <v>119</v>
      </c>
      <c r="O14" s="5">
        <f t="shared" si="10"/>
        <v>119.7</v>
      </c>
      <c r="P14" s="5">
        <f t="shared" si="10"/>
        <v>119.9</v>
      </c>
      <c r="Q14" s="5">
        <f t="shared" si="10"/>
        <v>120</v>
      </c>
      <c r="R14" s="5">
        <f t="shared" si="10"/>
        <v>120.9</v>
      </c>
      <c r="S14" s="5">
        <f t="shared" si="10"/>
        <v>121.6</v>
      </c>
      <c r="T14" s="5">
        <f t="shared" si="10"/>
        <v>121.9</v>
      </c>
      <c r="U14" s="5">
        <f t="shared" si="10"/>
        <v>122.1</v>
      </c>
      <c r="V14" s="5">
        <f t="shared" si="10"/>
        <v>121.8</v>
      </c>
      <c r="W14" s="5">
        <f t="shared" si="10"/>
        <v>121.1</v>
      </c>
      <c r="X14" s="5">
        <f t="shared" si="10"/>
        <v>120</v>
      </c>
      <c r="Y14" s="5">
        <f t="shared" si="10"/>
        <v>120</v>
      </c>
      <c r="Z14" s="5">
        <f t="shared" si="10"/>
        <v>121.3</v>
      </c>
      <c r="AA14" s="5">
        <f t="shared" si="10"/>
        <v>122.7</v>
      </c>
      <c r="AI14" s="59">
        <v>45617</v>
      </c>
      <c r="AJ14" s="54">
        <v>79009</v>
      </c>
      <c r="AK14" s="54">
        <v>95105</v>
      </c>
      <c r="AM14" s="55" t="s">
        <v>10</v>
      </c>
      <c r="AN14" s="55" t="s">
        <v>35</v>
      </c>
      <c r="AO14" s="64">
        <f t="shared" si="2"/>
        <v>0.12989672987286868</v>
      </c>
      <c r="AP14" s="16">
        <f t="shared" si="3"/>
        <v>0.14296361639924415</v>
      </c>
    </row>
    <row r="15" spans="1:42" x14ac:dyDescent="0.25">
      <c r="A15" s="52" t="s">
        <v>153</v>
      </c>
      <c r="B15" s="5">
        <f t="shared" ref="B15:AA15" si="11">AVERAGEIFS(spices,sec,$B$4,date,B$5)</f>
        <v>163.9</v>
      </c>
      <c r="C15" s="5">
        <f t="shared" si="11"/>
        <v>168.2</v>
      </c>
      <c r="D15" s="5">
        <f t="shared" si="11"/>
        <v>168.5</v>
      </c>
      <c r="E15" s="5">
        <f t="shared" si="11"/>
        <v>168.3</v>
      </c>
      <c r="F15" s="5">
        <f t="shared" si="11"/>
        <v>168.8</v>
      </c>
      <c r="G15" s="5">
        <f t="shared" si="11"/>
        <v>168.8</v>
      </c>
      <c r="H15" s="5">
        <f t="shared" si="11"/>
        <v>169.3</v>
      </c>
      <c r="I15" s="5">
        <f t="shared" si="11"/>
        <v>169.6</v>
      </c>
      <c r="J15" s="5">
        <f t="shared" si="11"/>
        <v>170.5</v>
      </c>
      <c r="K15" s="5">
        <f t="shared" si="11"/>
        <v>172.1</v>
      </c>
      <c r="L15" s="5">
        <f t="shared" si="11"/>
        <v>174.3</v>
      </c>
      <c r="M15" s="5">
        <f t="shared" si="11"/>
        <v>177.4</v>
      </c>
      <c r="N15" s="5">
        <f t="shared" si="11"/>
        <v>181.3</v>
      </c>
      <c r="O15" s="5">
        <f t="shared" si="11"/>
        <v>184.9</v>
      </c>
      <c r="P15" s="5">
        <f t="shared" si="11"/>
        <v>187.1</v>
      </c>
      <c r="Q15" s="5">
        <f t="shared" si="11"/>
        <v>190</v>
      </c>
      <c r="R15" s="5">
        <f t="shared" si="11"/>
        <v>193.6</v>
      </c>
      <c r="S15" s="5">
        <f t="shared" si="11"/>
        <v>197.3</v>
      </c>
      <c r="T15" s="5">
        <f t="shared" si="11"/>
        <v>199.9</v>
      </c>
      <c r="U15" s="5">
        <f t="shared" si="11"/>
        <v>202.8</v>
      </c>
      <c r="V15" s="5">
        <f t="shared" si="11"/>
        <v>205.2</v>
      </c>
      <c r="W15" s="5">
        <f t="shared" si="11"/>
        <v>208.4</v>
      </c>
      <c r="X15" s="5">
        <f t="shared" si="11"/>
        <v>209.7</v>
      </c>
      <c r="Y15" s="5">
        <f t="shared" si="11"/>
        <v>209.7</v>
      </c>
      <c r="Z15" s="5">
        <f t="shared" si="11"/>
        <v>212.9</v>
      </c>
      <c r="AA15" s="5">
        <f t="shared" si="11"/>
        <v>218</v>
      </c>
      <c r="AI15" s="59">
        <v>45647</v>
      </c>
      <c r="AJ15" s="54">
        <v>81771</v>
      </c>
      <c r="AK15" s="54">
        <v>100381</v>
      </c>
      <c r="AM15" s="55" t="s">
        <v>11</v>
      </c>
      <c r="AN15" s="55" t="s">
        <v>35</v>
      </c>
      <c r="AO15" s="64">
        <f t="shared" si="2"/>
        <v>0.4572532765842115</v>
      </c>
      <c r="AP15" s="16">
        <f t="shared" si="3"/>
        <v>0.49284745087843884</v>
      </c>
    </row>
    <row r="16" spans="1:42" x14ac:dyDescent="0.25">
      <c r="A16" s="52" t="s">
        <v>154</v>
      </c>
      <c r="B16" s="5">
        <f t="shared" ref="B16:AA16" si="12">AVERAGEIFS(NonAlco,sec,$B$4,date,B$5)</f>
        <v>157.6</v>
      </c>
      <c r="C16" s="5">
        <f t="shared" si="12"/>
        <v>159.30000000000001</v>
      </c>
      <c r="D16" s="5">
        <f t="shared" si="12"/>
        <v>160</v>
      </c>
      <c r="E16" s="5">
        <f t="shared" si="12"/>
        <v>160.9</v>
      </c>
      <c r="F16" s="5">
        <f t="shared" si="12"/>
        <v>162.69999999999999</v>
      </c>
      <c r="G16" s="5">
        <f t="shared" si="12"/>
        <v>162.69999999999999</v>
      </c>
      <c r="H16" s="5">
        <f t="shared" si="12"/>
        <v>163.19999999999999</v>
      </c>
      <c r="I16" s="5">
        <f t="shared" si="12"/>
        <v>163.69999999999999</v>
      </c>
      <c r="J16" s="5">
        <f t="shared" si="12"/>
        <v>164.2</v>
      </c>
      <c r="K16" s="5">
        <f t="shared" si="12"/>
        <v>164.3</v>
      </c>
      <c r="L16" s="5">
        <f t="shared" si="12"/>
        <v>164.7</v>
      </c>
      <c r="M16" s="5">
        <f t="shared" si="12"/>
        <v>165.3</v>
      </c>
      <c r="N16" s="5">
        <f t="shared" si="12"/>
        <v>166.2</v>
      </c>
      <c r="O16" s="5">
        <f t="shared" si="12"/>
        <v>167.1</v>
      </c>
      <c r="P16" s="5">
        <f t="shared" si="12"/>
        <v>167.9</v>
      </c>
      <c r="Q16" s="5">
        <f t="shared" si="12"/>
        <v>168.4</v>
      </c>
      <c r="R16" s="5">
        <f t="shared" si="12"/>
        <v>168.8</v>
      </c>
      <c r="S16" s="5">
        <f t="shared" si="12"/>
        <v>169.4</v>
      </c>
      <c r="T16" s="5">
        <f t="shared" si="12"/>
        <v>169.9</v>
      </c>
      <c r="U16" s="5">
        <f t="shared" si="12"/>
        <v>170.4</v>
      </c>
      <c r="V16" s="5">
        <f t="shared" si="12"/>
        <v>171</v>
      </c>
      <c r="W16" s="5">
        <f t="shared" si="12"/>
        <v>171.4</v>
      </c>
      <c r="X16" s="5">
        <f t="shared" si="12"/>
        <v>172.3</v>
      </c>
      <c r="Y16" s="5">
        <f t="shared" si="12"/>
        <v>172.3</v>
      </c>
      <c r="Z16" s="5">
        <f t="shared" si="12"/>
        <v>172.9</v>
      </c>
      <c r="AA16" s="5">
        <f t="shared" si="12"/>
        <v>173.4</v>
      </c>
      <c r="AI16" s="59">
        <v>45313</v>
      </c>
      <c r="AJ16" s="54">
        <v>86693</v>
      </c>
      <c r="AK16" s="54">
        <v>101828</v>
      </c>
      <c r="AM16" s="55" t="s">
        <v>12</v>
      </c>
      <c r="AN16" s="55" t="s">
        <v>35</v>
      </c>
      <c r="AO16" s="64">
        <f t="shared" si="2"/>
        <v>0.49085655366575026</v>
      </c>
      <c r="AP16" s="16">
        <f t="shared" si="3"/>
        <v>0.49600213319586001</v>
      </c>
    </row>
    <row r="17" spans="1:42" x14ac:dyDescent="0.25">
      <c r="A17" s="52" t="s">
        <v>155</v>
      </c>
      <c r="B17" s="5">
        <f t="shared" ref="B17:AA17" si="13">AVERAGEIFS(prefood,sec,$B$4,date,B$5)</f>
        <v>168.9</v>
      </c>
      <c r="C17" s="5">
        <f t="shared" si="13"/>
        <v>170.4</v>
      </c>
      <c r="D17" s="5">
        <f t="shared" si="13"/>
        <v>172.4</v>
      </c>
      <c r="E17" s="5">
        <f t="shared" si="13"/>
        <v>172.2</v>
      </c>
      <c r="F17" s="5">
        <f t="shared" si="13"/>
        <v>173.9</v>
      </c>
      <c r="G17" s="5">
        <f t="shared" si="13"/>
        <v>173.9</v>
      </c>
      <c r="H17" s="5">
        <f t="shared" si="13"/>
        <v>174.7</v>
      </c>
      <c r="I17" s="5">
        <f t="shared" si="13"/>
        <v>175.5</v>
      </c>
      <c r="J17" s="5">
        <f t="shared" si="13"/>
        <v>176.5</v>
      </c>
      <c r="K17" s="5">
        <f t="shared" si="13"/>
        <v>177.3</v>
      </c>
      <c r="L17" s="5">
        <f t="shared" si="13"/>
        <v>178</v>
      </c>
      <c r="M17" s="5">
        <f t="shared" si="13"/>
        <v>179.3</v>
      </c>
      <c r="N17" s="5">
        <f t="shared" si="13"/>
        <v>180.9</v>
      </c>
      <c r="O17" s="5">
        <f t="shared" si="13"/>
        <v>182.5</v>
      </c>
      <c r="P17" s="5">
        <f t="shared" si="13"/>
        <v>183.9</v>
      </c>
      <c r="Q17" s="5">
        <f t="shared" si="13"/>
        <v>185.2</v>
      </c>
      <c r="R17" s="5">
        <f t="shared" si="13"/>
        <v>186.3</v>
      </c>
      <c r="S17" s="5">
        <f t="shared" si="13"/>
        <v>187.4</v>
      </c>
      <c r="T17" s="5">
        <f t="shared" si="13"/>
        <v>188.3</v>
      </c>
      <c r="U17" s="5">
        <f t="shared" si="13"/>
        <v>189.5</v>
      </c>
      <c r="V17" s="5">
        <f t="shared" si="13"/>
        <v>190.3</v>
      </c>
      <c r="W17" s="5">
        <f t="shared" si="13"/>
        <v>191.2</v>
      </c>
      <c r="X17" s="5">
        <f t="shared" si="13"/>
        <v>193</v>
      </c>
      <c r="Y17" s="5">
        <f t="shared" si="13"/>
        <v>193</v>
      </c>
      <c r="Z17" s="5">
        <f t="shared" si="13"/>
        <v>193.5</v>
      </c>
      <c r="AA17" s="5">
        <f t="shared" si="13"/>
        <v>194.2</v>
      </c>
      <c r="AI17" s="59">
        <v>45344</v>
      </c>
      <c r="AJ17" s="54">
        <v>87441</v>
      </c>
      <c r="AK17" s="54">
        <v>102318</v>
      </c>
      <c r="AM17" s="55" t="s">
        <v>13</v>
      </c>
      <c r="AN17" s="55" t="s">
        <v>35</v>
      </c>
      <c r="AO17" s="64">
        <f t="shared" si="2"/>
        <v>0.62035225220314205</v>
      </c>
      <c r="AP17" s="16">
        <f t="shared" si="3"/>
        <v>0.63611166803045471</v>
      </c>
    </row>
    <row r="18" spans="1:42" x14ac:dyDescent="0.25">
      <c r="A18" s="52" t="s">
        <v>156</v>
      </c>
      <c r="B18" s="5">
        <f t="shared" ref="B18:AA18" si="14">AVERAGEIFS(foodBev,sec,$B$4,date,B$5)</f>
        <v>158</v>
      </c>
      <c r="C18" s="5">
        <f t="shared" si="14"/>
        <v>160.69999999999999</v>
      </c>
      <c r="D18" s="5">
        <f t="shared" si="14"/>
        <v>162.6</v>
      </c>
      <c r="E18" s="5">
        <f t="shared" si="14"/>
        <v>164</v>
      </c>
      <c r="F18" s="5">
        <f t="shared" si="14"/>
        <v>164</v>
      </c>
      <c r="G18" s="5">
        <f t="shared" si="14"/>
        <v>164</v>
      </c>
      <c r="H18" s="5">
        <f t="shared" si="14"/>
        <v>167.7</v>
      </c>
      <c r="I18" s="5">
        <f t="shared" si="14"/>
        <v>169.7</v>
      </c>
      <c r="J18" s="5">
        <f t="shared" si="14"/>
        <v>168.2</v>
      </c>
      <c r="K18" s="5">
        <f t="shared" si="14"/>
        <v>166.4</v>
      </c>
      <c r="L18" s="5">
        <f t="shared" si="14"/>
        <v>166.2</v>
      </c>
      <c r="M18" s="5">
        <f t="shared" si="14"/>
        <v>168.4</v>
      </c>
      <c r="N18" s="5">
        <f t="shared" si="14"/>
        <v>170.8</v>
      </c>
      <c r="O18" s="5">
        <f t="shared" si="14"/>
        <v>173.3</v>
      </c>
      <c r="P18" s="5">
        <f t="shared" si="14"/>
        <v>174.9</v>
      </c>
      <c r="Q18" s="5">
        <f t="shared" si="14"/>
        <v>175</v>
      </c>
      <c r="R18" s="5">
        <f t="shared" si="14"/>
        <v>176.3</v>
      </c>
      <c r="S18" s="5">
        <f t="shared" si="14"/>
        <v>177.8</v>
      </c>
      <c r="T18" s="5">
        <f t="shared" si="14"/>
        <v>179.6</v>
      </c>
      <c r="U18" s="5">
        <f t="shared" si="14"/>
        <v>178.3</v>
      </c>
      <c r="V18" s="5">
        <f t="shared" si="14"/>
        <v>175.9</v>
      </c>
      <c r="W18" s="5">
        <f t="shared" si="14"/>
        <v>176.7</v>
      </c>
      <c r="X18" s="5">
        <f t="shared" si="14"/>
        <v>177</v>
      </c>
      <c r="Y18" s="5">
        <f t="shared" si="14"/>
        <v>177</v>
      </c>
      <c r="Z18" s="5">
        <f t="shared" si="14"/>
        <v>177.9</v>
      </c>
      <c r="AA18" s="5">
        <f t="shared" si="14"/>
        <v>179.1</v>
      </c>
      <c r="AI18" s="59">
        <v>45373</v>
      </c>
      <c r="AJ18" s="54">
        <v>113229</v>
      </c>
      <c r="AK18" s="54">
        <v>134181</v>
      </c>
      <c r="AM18" s="55" t="s">
        <v>14</v>
      </c>
      <c r="AN18" s="55" t="s">
        <v>35</v>
      </c>
      <c r="AO18" s="64">
        <f t="shared" si="2"/>
        <v>0.58818532547485636</v>
      </c>
      <c r="AP18" s="16">
        <f t="shared" si="3"/>
        <v>0.59822000989377455</v>
      </c>
    </row>
    <row r="19" spans="1:42" x14ac:dyDescent="0.25">
      <c r="A19" s="52" t="s">
        <v>157</v>
      </c>
      <c r="B19" s="5">
        <f t="shared" ref="B19:AA19" si="15">AVERAGEIFS(Intoxicants,sec,$B$4,date,B$5)</f>
        <v>188.8</v>
      </c>
      <c r="C19" s="5">
        <f t="shared" si="15"/>
        <v>191.9</v>
      </c>
      <c r="D19" s="5">
        <f t="shared" si="15"/>
        <v>190.8</v>
      </c>
      <c r="E19" s="5">
        <f t="shared" si="15"/>
        <v>191.2</v>
      </c>
      <c r="F19" s="5">
        <f t="shared" si="15"/>
        <v>192.1</v>
      </c>
      <c r="G19" s="5">
        <f t="shared" si="15"/>
        <v>192.1</v>
      </c>
      <c r="H19" s="5">
        <f t="shared" si="15"/>
        <v>192.7</v>
      </c>
      <c r="I19" s="5">
        <f t="shared" si="15"/>
        <v>192.9</v>
      </c>
      <c r="J19" s="5">
        <f t="shared" si="15"/>
        <v>192.4</v>
      </c>
      <c r="K19" s="5">
        <f t="shared" si="15"/>
        <v>192.2</v>
      </c>
      <c r="L19" s="5">
        <f t="shared" si="15"/>
        <v>192.8</v>
      </c>
      <c r="M19" s="5">
        <f t="shared" si="15"/>
        <v>193.7</v>
      </c>
      <c r="N19" s="5">
        <f t="shared" si="15"/>
        <v>193.9</v>
      </c>
      <c r="O19" s="5">
        <f t="shared" si="15"/>
        <v>194.1</v>
      </c>
      <c r="P19" s="5">
        <f t="shared" si="15"/>
        <v>194.3</v>
      </c>
      <c r="Q19" s="5">
        <f t="shared" si="15"/>
        <v>194.6</v>
      </c>
      <c r="R19" s="5">
        <f t="shared" si="15"/>
        <v>195</v>
      </c>
      <c r="S19" s="5">
        <f t="shared" si="15"/>
        <v>195.9</v>
      </c>
      <c r="T19" s="5">
        <f t="shared" si="15"/>
        <v>196.3</v>
      </c>
      <c r="U19" s="5">
        <f t="shared" si="15"/>
        <v>196.9</v>
      </c>
      <c r="V19" s="5">
        <f t="shared" si="15"/>
        <v>197.3</v>
      </c>
      <c r="W19" s="5">
        <f t="shared" si="15"/>
        <v>198.2</v>
      </c>
      <c r="X19" s="5">
        <f t="shared" si="15"/>
        <v>199.5</v>
      </c>
      <c r="Y19" s="5">
        <f t="shared" si="15"/>
        <v>199.5</v>
      </c>
      <c r="Z19" s="5">
        <f t="shared" si="15"/>
        <v>200.6</v>
      </c>
      <c r="AA19" s="5">
        <f t="shared" si="15"/>
        <v>201</v>
      </c>
      <c r="AI19" s="59">
        <v>45404</v>
      </c>
      <c r="AJ19" s="54">
        <v>128800</v>
      </c>
      <c r="AK19" s="54">
        <v>151258</v>
      </c>
      <c r="AM19" s="55" t="s">
        <v>15</v>
      </c>
      <c r="AN19" s="55" t="s">
        <v>35</v>
      </c>
      <c r="AO19" s="64">
        <f t="shared" si="2"/>
        <v>0.66258790385956778</v>
      </c>
      <c r="AP19" s="16">
        <f t="shared" si="3"/>
        <v>0.67406118927173608</v>
      </c>
    </row>
    <row r="20" spans="1:42" x14ac:dyDescent="0.25">
      <c r="A20" s="52" t="s">
        <v>158</v>
      </c>
      <c r="B20" s="5" cm="1">
        <f t="array" ref="B20">AVERAGEIFS(clthng,sec,$B$4,date,B$5)</f>
        <v>158.80000000000001</v>
      </c>
      <c r="C20" s="5" cm="1">
        <f t="array" ref="C20">AVERAGEIFS(clthng,sec,$B$4,date,C$5)</f>
        <v>161.80000000000001</v>
      </c>
      <c r="D20" s="5" cm="1">
        <f t="array" ref="D20">AVERAGEIFS(clthng,sec,$B$4,date,D$5)</f>
        <v>162.19999999999999</v>
      </c>
      <c r="E20" s="5" cm="1">
        <f t="array" ref="E20">AVERAGEIFS(clthng,sec,$B$4,date,E$5)</f>
        <v>162.80000000000001</v>
      </c>
      <c r="F20" s="5" cm="1">
        <f t="array" ref="F20">AVERAGEIFS(clthng,sec,$B$4,date,F$5)</f>
        <v>164.5</v>
      </c>
      <c r="G20" s="5" cm="1">
        <f t="array" ref="G20">AVERAGEIFS(clthng,sec,$B$4,date,G$5)</f>
        <v>164.6</v>
      </c>
      <c r="H20" s="5" cm="1">
        <f t="array" ref="H20">AVERAGEIFS(clthng,sec,$B$4,date,H$5)</f>
        <v>165.7</v>
      </c>
      <c r="I20" s="5" cm="1">
        <f t="array" ref="I20">AVERAGEIFS(clthng,sec,$B$4,date,I$5)</f>
        <v>167.2</v>
      </c>
      <c r="J20" s="5" cm="1">
        <f t="array" ref="J20">AVERAGEIFS(clthng,sec,$B$4,date,J$5)</f>
        <v>168.5</v>
      </c>
      <c r="K20" s="5" cm="1">
        <f t="array" ref="K20">AVERAGEIFS(clthng,sec,$B$4,date,K$5)</f>
        <v>169.9</v>
      </c>
      <c r="L20" s="5" cm="1">
        <f t="array" ref="L20">AVERAGEIFS(clthng,sec,$B$4,date,L$5)</f>
        <v>170.8</v>
      </c>
      <c r="M20" s="5" cm="1">
        <f t="array" ref="M20">AVERAGEIFS(clthng,sec,$B$4,date,M$5)</f>
        <v>172.1</v>
      </c>
      <c r="N20" s="5" cm="1">
        <f t="array" ref="N20">AVERAGEIFS(clthng,sec,$B$4,date,N$5)</f>
        <v>173.9</v>
      </c>
      <c r="O20" s="5" cm="1">
        <f t="array" ref="O20">AVERAGEIFS(clthng,sec,$B$4,date,O$5)</f>
        <v>175.6</v>
      </c>
      <c r="P20" s="5" cm="1">
        <f t="array" ref="P20">AVERAGEIFS(clthng,sec,$B$4,date,P$5)</f>
        <v>177.1</v>
      </c>
      <c r="Q20" s="5" cm="1">
        <f t="array" ref="Q20">AVERAGEIFS(clthng,sec,$B$4,date,Q$5)</f>
        <v>178.3</v>
      </c>
      <c r="R20" s="5" cm="1">
        <f t="array" ref="R20">AVERAGEIFS(clthng,sec,$B$4,date,R$5)</f>
        <v>179.5</v>
      </c>
      <c r="S20" s="5" cm="1">
        <f t="array" ref="S20">AVERAGEIFS(clthng,sec,$B$4,date,S$5)</f>
        <v>180.9</v>
      </c>
      <c r="T20" s="5" cm="1">
        <f t="array" ref="T20">AVERAGEIFS(clthng,sec,$B$4,date,T$5)</f>
        <v>181.9</v>
      </c>
      <c r="U20" s="5" cm="1">
        <f t="array" ref="U20">AVERAGEIFS(clthng,sec,$B$4,date,U$5)</f>
        <v>183.1</v>
      </c>
      <c r="V20" s="5" cm="1">
        <f t="array" ref="V20">AVERAGEIFS(clthng,sec,$B$4,date,V$5)</f>
        <v>184</v>
      </c>
      <c r="W20" s="5" cm="1">
        <f t="array" ref="W20">AVERAGEIFS(clthng,sec,$B$4,date,W$5)</f>
        <v>184.9</v>
      </c>
      <c r="X20" s="5" cm="1">
        <f t="array" ref="X20">AVERAGEIFS(clthng,sec,$B$4,date,X$5)</f>
        <v>186.2</v>
      </c>
      <c r="Y20" s="5" cm="1">
        <f t="array" ref="Y20">AVERAGEIFS(clthng,sec,$B$4,date,Y$5)</f>
        <v>186.1</v>
      </c>
      <c r="Z20" s="5" cm="1">
        <f t="array" ref="Z20">AVERAGEIFS(clthng,sec,$B$4,date,Z$5)</f>
        <v>186.9</v>
      </c>
      <c r="AA20" s="5" cm="1">
        <f t="array" ref="AA20">AVERAGEIFS(clthng,sec,$B$4,date,AA$5)</f>
        <v>187.3</v>
      </c>
      <c r="AI20" s="59">
        <v>45434</v>
      </c>
      <c r="AJ20" s="54">
        <v>119634</v>
      </c>
      <c r="AK20" s="54">
        <v>137782</v>
      </c>
      <c r="AM20" s="55" t="s">
        <v>16</v>
      </c>
      <c r="AN20" s="55" t="s">
        <v>35</v>
      </c>
      <c r="AO20" s="64">
        <f t="shared" si="2"/>
        <v>0.45158949005075633</v>
      </c>
      <c r="AP20" s="16">
        <f t="shared" si="3"/>
        <v>0.47047427895153326</v>
      </c>
    </row>
    <row r="21" spans="1:42" x14ac:dyDescent="0.25">
      <c r="A21" s="52" t="s">
        <v>159</v>
      </c>
      <c r="B21" s="5" cm="1">
        <f t="array" ref="B21">AVERAGEIFS(fotwer,sec,$B$4,date,B$5)</f>
        <v>148.5</v>
      </c>
      <c r="C21" s="5" cm="1">
        <f t="array" ref="C21">AVERAGEIFS(fotwer,sec,$B$4,date,C$5)</f>
        <v>152.1</v>
      </c>
      <c r="D21" s="5" cm="1">
        <f t="array" ref="D21">AVERAGEIFS(fotwer,sec,$B$4,date,D$5)</f>
        <v>151.80000000000001</v>
      </c>
      <c r="E21" s="5" cm="1">
        <f t="array" ref="E21">AVERAGEIFS(fotwer,sec,$B$4,date,E$5)</f>
        <v>153.1</v>
      </c>
      <c r="F21" s="5" cm="1">
        <f t="array" ref="F21">AVERAGEIFS(fotwer,sec,$B$4,date,F$5)</f>
        <v>155.30000000000001</v>
      </c>
      <c r="G21" s="5" cm="1">
        <f t="array" ref="G21">AVERAGEIFS(fotwer,sec,$B$4,date,G$5)</f>
        <v>155.30000000000001</v>
      </c>
      <c r="H21" s="5" cm="1">
        <f t="array" ref="H21">AVERAGEIFS(fotwer,sec,$B$4,date,H$5)</f>
        <v>156.30000000000001</v>
      </c>
      <c r="I21" s="5" cm="1">
        <f t="array" ref="I21">AVERAGEIFS(fotwer,sec,$B$4,date,I$5)</f>
        <v>157.4</v>
      </c>
      <c r="J21" s="5" cm="1">
        <f t="array" ref="J21">AVERAGEIFS(fotwer,sec,$B$4,date,J$5)</f>
        <v>158.69999999999999</v>
      </c>
      <c r="K21" s="5" cm="1">
        <f t="array" ref="K21">AVERAGEIFS(fotwer,sec,$B$4,date,K$5)</f>
        <v>160.69999999999999</v>
      </c>
      <c r="L21" s="5" cm="1">
        <f t="array" ref="L21">AVERAGEIFS(fotwer,sec,$B$4,date,L$5)</f>
        <v>162.4</v>
      </c>
      <c r="M21" s="5" cm="1">
        <f t="array" ref="M21">AVERAGEIFS(fotwer,sec,$B$4,date,M$5)</f>
        <v>164.6</v>
      </c>
      <c r="N21" s="5" cm="1">
        <f t="array" ref="N21">AVERAGEIFS(fotwer,sec,$B$4,date,N$5)</f>
        <v>166.5</v>
      </c>
      <c r="O21" s="5" cm="1">
        <f t="array" ref="O21">AVERAGEIFS(fotwer,sec,$B$4,date,O$5)</f>
        <v>168.4</v>
      </c>
      <c r="P21" s="5" cm="1">
        <f t="array" ref="P21">AVERAGEIFS(fotwer,sec,$B$4,date,P$5)</f>
        <v>169.9</v>
      </c>
      <c r="Q21" s="5" cm="1">
        <f t="array" ref="Q21">AVERAGEIFS(fotwer,sec,$B$4,date,Q$5)</f>
        <v>171.3</v>
      </c>
      <c r="R21" s="5" cm="1">
        <f t="array" ref="R21">AVERAGEIFS(fotwer,sec,$B$4,date,R$5)</f>
        <v>172.7</v>
      </c>
      <c r="S21" s="5" cm="1">
        <f t="array" ref="S21">AVERAGEIFS(fotwer,sec,$B$4,date,S$5)</f>
        <v>174.3</v>
      </c>
      <c r="T21" s="5" cm="1">
        <f t="array" ref="T21">AVERAGEIFS(fotwer,sec,$B$4,date,T$5)</f>
        <v>175.3</v>
      </c>
      <c r="U21" s="5" cm="1">
        <f t="array" ref="U21">AVERAGEIFS(fotwer,sec,$B$4,date,U$5)</f>
        <v>176.2</v>
      </c>
      <c r="V21" s="5" cm="1">
        <f t="array" ref="V21">AVERAGEIFS(fotwer,sec,$B$4,date,V$5)</f>
        <v>177</v>
      </c>
      <c r="W21" s="5" cm="1">
        <f t="array" ref="W21">AVERAGEIFS(fotwer,sec,$B$4,date,W$5)</f>
        <v>177.6</v>
      </c>
      <c r="X21" s="5" cm="1">
        <f t="array" ref="X21">AVERAGEIFS(fotwer,sec,$B$4,date,X$5)</f>
        <v>178.7</v>
      </c>
      <c r="Y21" s="5" cm="1">
        <f t="array" ref="Y21">AVERAGEIFS(fotwer,sec,$B$4,date,Y$5)</f>
        <v>178.7</v>
      </c>
      <c r="Z21" s="5" cm="1">
        <f t="array" ref="Z21">AVERAGEIFS(fotwer,sec,$B$4,date,Z$5)</f>
        <v>179.2</v>
      </c>
      <c r="AA21" s="5" cm="1">
        <f t="array" ref="AA21">AVERAGEIFS(fotwer,sec,$B$4,date,AA$5)</f>
        <v>179.7</v>
      </c>
      <c r="AI21" s="59">
        <v>45465</v>
      </c>
      <c r="AJ21" s="54">
        <v>121898</v>
      </c>
      <c r="AK21" s="54">
        <v>140362</v>
      </c>
      <c r="AM21" s="55" t="s">
        <v>17</v>
      </c>
      <c r="AN21" s="55" t="s">
        <v>35</v>
      </c>
      <c r="AO21" s="64">
        <f t="shared" si="2"/>
        <v>0.62398831168466473</v>
      </c>
      <c r="AP21" s="16">
        <f t="shared" si="3"/>
        <v>0.63293247427820665</v>
      </c>
    </row>
    <row r="22" spans="1:42" x14ac:dyDescent="0.25">
      <c r="A22" s="52" t="s">
        <v>160</v>
      </c>
      <c r="B22" s="5" cm="1">
        <f t="array" ref="B22">AVERAGEIFS(clthnnfotwr,sec,$B$4,date,B$5)</f>
        <v>157.30000000000001</v>
      </c>
      <c r="C22" s="5" cm="1">
        <f t="array" ref="C22">AVERAGEIFS(clthnnfotwr,sec,$B$4,date,C$5)</f>
        <v>160.4</v>
      </c>
      <c r="D22" s="5" cm="1">
        <f t="array" ref="D22">AVERAGEIFS(clthnnfotwr,sec,$B$4,date,D$5)</f>
        <v>160.69999999999999</v>
      </c>
      <c r="E22" s="5" cm="1">
        <f t="array" ref="E22">AVERAGEIFS(clthnnfotwr,sec,$B$4,date,E$5)</f>
        <v>161.4</v>
      </c>
      <c r="F22" s="5" cm="1">
        <f t="array" ref="F22">AVERAGEIFS(clthnnfotwr,sec,$B$4,date,F$5)</f>
        <v>163.19999999999999</v>
      </c>
      <c r="G22" s="5" cm="1">
        <f t="array" ref="G22">AVERAGEIFS(clthnnfotwr,sec,$B$4,date,G$5)</f>
        <v>163.30000000000001</v>
      </c>
      <c r="H22" s="5" cm="1">
        <f t="array" ref="H22">AVERAGEIFS(clthnnfotwr,sec,$B$4,date,H$5)</f>
        <v>164.3</v>
      </c>
      <c r="I22" s="5" cm="1">
        <f t="array" ref="I22">AVERAGEIFS(clthnnfotwr,sec,$B$4,date,I$5)</f>
        <v>165.8</v>
      </c>
      <c r="J22" s="5" cm="1">
        <f t="array" ref="J22">AVERAGEIFS(clthnnfotwr,sec,$B$4,date,J$5)</f>
        <v>167</v>
      </c>
      <c r="K22" s="5" cm="1">
        <f t="array" ref="K22">AVERAGEIFS(clthnnfotwr,sec,$B$4,date,K$5)</f>
        <v>168.5</v>
      </c>
      <c r="L22" s="5" cm="1">
        <f t="array" ref="L22">AVERAGEIFS(clthnnfotwr,sec,$B$4,date,L$5)</f>
        <v>169.6</v>
      </c>
      <c r="M22" s="5" cm="1">
        <f t="array" ref="M22">AVERAGEIFS(clthnnfotwr,sec,$B$4,date,M$5)</f>
        <v>171.1</v>
      </c>
      <c r="N22" s="5" cm="1">
        <f t="array" ref="N22">AVERAGEIFS(clthnnfotwr,sec,$B$4,date,N$5)</f>
        <v>172.8</v>
      </c>
      <c r="O22" s="5" cm="1">
        <f t="array" ref="O22">AVERAGEIFS(clthnnfotwr,sec,$B$4,date,O$5)</f>
        <v>174.6</v>
      </c>
      <c r="P22" s="5" cm="1">
        <f t="array" ref="P22">AVERAGEIFS(clthnnfotwr,sec,$B$4,date,P$5)</f>
        <v>176</v>
      </c>
      <c r="Q22" s="5" cm="1">
        <f t="array" ref="Q22">AVERAGEIFS(clthnnfotwr,sec,$B$4,date,Q$5)</f>
        <v>177.3</v>
      </c>
      <c r="R22" s="5" cm="1">
        <f t="array" ref="R22">AVERAGEIFS(clthnnfotwr,sec,$B$4,date,R$5)</f>
        <v>178.5</v>
      </c>
      <c r="S22" s="5" cm="1">
        <f t="array" ref="S22">AVERAGEIFS(clthnnfotwr,sec,$B$4,date,S$5)</f>
        <v>179.9</v>
      </c>
      <c r="T22" s="5" cm="1">
        <f t="array" ref="T22">AVERAGEIFS(clthnnfotwr,sec,$B$4,date,T$5)</f>
        <v>181</v>
      </c>
      <c r="U22" s="5" cm="1">
        <f t="array" ref="U22">AVERAGEIFS(clthnnfotwr,sec,$B$4,date,U$5)</f>
        <v>182.1</v>
      </c>
      <c r="V22" s="5" cm="1">
        <f t="array" ref="V22">AVERAGEIFS(clthnnfotwr,sec,$B$4,date,V$5)</f>
        <v>183</v>
      </c>
      <c r="W22" s="5" cm="1">
        <f t="array" ref="W22">AVERAGEIFS(clthnnfotwr,sec,$B$4,date,W$5)</f>
        <v>183.8</v>
      </c>
      <c r="X22" s="5" cm="1">
        <f t="array" ref="X22">AVERAGEIFS(clthnnfotwr,sec,$B$4,date,X$5)</f>
        <v>185.1</v>
      </c>
      <c r="Y22" s="5" cm="1">
        <f t="array" ref="Y22">AVERAGEIFS(clthnnfotwr,sec,$B$4,date,Y$5)</f>
        <v>185.1</v>
      </c>
      <c r="Z22" s="5" cm="1">
        <f t="array" ref="Z22">AVERAGEIFS(clthnnfotwr,sec,$B$4,date,Z$5)</f>
        <v>185.7</v>
      </c>
      <c r="AA22" s="5" cm="1">
        <f t="array" ref="AA22">AVERAGEIFS(clthnnfotwr,sec,$B$4,date,AA$5)</f>
        <v>186.2</v>
      </c>
      <c r="AI22" s="59">
        <v>45495</v>
      </c>
      <c r="AJ22" s="54">
        <v>128755</v>
      </c>
      <c r="AK22" s="54">
        <v>148619</v>
      </c>
      <c r="AM22" s="55" t="s">
        <v>18</v>
      </c>
      <c r="AN22" s="55" t="s">
        <v>35</v>
      </c>
      <c r="AO22" s="64">
        <f t="shared" si="2"/>
        <v>0.65523458607282237</v>
      </c>
      <c r="AP22" s="16">
        <f t="shared" si="3"/>
        <v>0.66244501582353366</v>
      </c>
    </row>
    <row r="23" spans="1:42" x14ac:dyDescent="0.25">
      <c r="A23" s="52" t="s">
        <v>161</v>
      </c>
      <c r="B23" s="5" cm="1">
        <f t="array" ref="B23">AVERAGEIFS(housng,sec,$B$4,date,B$5)</f>
        <v>161.4</v>
      </c>
      <c r="C23" s="5" cm="1">
        <f t="array" ref="C23">AVERAGEIFS(housng,sec,$B$4,date,C$5)</f>
        <v>161.6</v>
      </c>
      <c r="D23" s="5" cm="1">
        <f t="array" ref="D23">AVERAGEIFS(housng,sec,$B$4,date,D$5)</f>
        <v>160.5</v>
      </c>
      <c r="E23" s="5" cm="1">
        <f t="array" ref="E23">AVERAGEIFS(housng,sec,$B$4,date,E$5)</f>
        <v>161.5</v>
      </c>
      <c r="F23" s="5" cm="1">
        <f t="array" ref="F23">AVERAGEIFS(housng,sec,$B$4,date,F$5)</f>
        <v>162.1</v>
      </c>
      <c r="G23" s="5" cm="1">
        <f t="array" ref="G23">AVERAGEIFS(housng,sec,$B$4,date,G$5)</f>
        <v>162.1</v>
      </c>
      <c r="H23" s="5" cm="1">
        <f t="array" ref="H23">AVERAGEIFS(housng,sec,$B$4,date,H$5)</f>
        <v>163.6</v>
      </c>
      <c r="I23" s="5" cm="1">
        <f t="array" ref="I23">AVERAGEIFS(housng,sec,$B$4,date,I$5)</f>
        <v>164.2</v>
      </c>
      <c r="J23" s="5" cm="1">
        <f t="array" ref="J23">AVERAGEIFS(housng,sec,$B$4,date,J$5)</f>
        <v>163.4</v>
      </c>
      <c r="K23" s="5" cm="1">
        <f t="array" ref="K23">AVERAGEIFS(housng,sec,$B$4,date,K$5)</f>
        <v>164.5</v>
      </c>
      <c r="L23" s="5" cm="1">
        <f t="array" ref="L23">AVERAGEIFS(housng,sec,$B$4,date,L$5)</f>
        <v>165.5</v>
      </c>
      <c r="M23" s="5" cm="1">
        <f t="array" ref="M23">AVERAGEIFS(housng,sec,$B$4,date,M$5)</f>
        <v>165.3</v>
      </c>
      <c r="N23" s="5" cm="1">
        <f t="array" ref="N23">AVERAGEIFS(housng,sec,$B$4,date,N$5)</f>
        <v>167</v>
      </c>
      <c r="O23" s="5" cm="1">
        <f t="array" ref="O23">AVERAGEIFS(housng,sec,$B$4,date,O$5)</f>
        <v>167.5</v>
      </c>
      <c r="P23" s="5" cm="1">
        <f t="array" ref="P23">AVERAGEIFS(housng,sec,$B$4,date,P$5)</f>
        <v>166.8</v>
      </c>
      <c r="Q23" s="5" cm="1">
        <f t="array" ref="Q23">AVERAGEIFS(housng,sec,$B$4,date,Q$5)</f>
        <v>167.8</v>
      </c>
      <c r="R23" s="5" cm="1">
        <f t="array" ref="R23">AVERAGEIFS(housng,sec,$B$4,date,R$5)</f>
        <v>169</v>
      </c>
      <c r="S23" s="5" cm="1">
        <f t="array" ref="S23">AVERAGEIFS(housng,sec,$B$4,date,S$5)</f>
        <v>169.5</v>
      </c>
      <c r="T23" s="5" cm="1">
        <f t="array" ref="T23">AVERAGEIFS(housng,sec,$B$4,date,T$5)</f>
        <v>171.2</v>
      </c>
      <c r="U23" s="5" cm="1">
        <f t="array" ref="U23">AVERAGEIFS(housng,sec,$B$4,date,U$5)</f>
        <v>171.8</v>
      </c>
      <c r="V23" s="5" cm="1">
        <f t="array" ref="V23">AVERAGEIFS(housng,sec,$B$4,date,V$5)</f>
        <v>170.7</v>
      </c>
      <c r="W23" s="5" cm="1">
        <f t="array" ref="W23">AVERAGEIFS(housng,sec,$B$4,date,W$5)</f>
        <v>172.1</v>
      </c>
      <c r="X23" s="5" cm="1">
        <f t="array" ref="X23">AVERAGEIFS(housng,sec,$B$4,date,X$5)</f>
        <v>173.5</v>
      </c>
      <c r="Y23" s="5" cm="1">
        <f t="array" ref="Y23">AVERAGEIFS(housng,sec,$B$4,date,Y$5)</f>
        <v>173.5</v>
      </c>
      <c r="Z23" s="5" cm="1">
        <f t="array" ref="Z23">AVERAGEIFS(housng,sec,$B$4,date,Z$5)</f>
        <v>175.2</v>
      </c>
      <c r="AA23" s="5" cm="1">
        <f t="array" ref="AA23">AVERAGEIFS(housng,sec,$B$4,date,AA$5)</f>
        <v>175.6</v>
      </c>
      <c r="AI23" s="59">
        <v>45526</v>
      </c>
      <c r="AJ23" s="54">
        <v>104567</v>
      </c>
      <c r="AK23" s="54">
        <v>120976</v>
      </c>
      <c r="AM23" s="55" t="s">
        <v>19</v>
      </c>
      <c r="AN23" s="55" t="s">
        <v>35</v>
      </c>
      <c r="AO23" s="64">
        <f t="shared" si="2"/>
        <v>0.62914069487150548</v>
      </c>
      <c r="AP23" s="16">
        <f t="shared" si="3"/>
        <v>0.63779345207113924</v>
      </c>
    </row>
    <row r="24" spans="1:42" x14ac:dyDescent="0.25">
      <c r="A24" s="52" t="s">
        <v>162</v>
      </c>
      <c r="B24" s="5">
        <f t="shared" ref="B24:AA24" si="16">AVERAGEIFS(fuel,sec,$B$4,date,B$5)</f>
        <v>155.6</v>
      </c>
      <c r="C24" s="5">
        <f t="shared" si="16"/>
        <v>159.4</v>
      </c>
      <c r="D24" s="5">
        <f t="shared" si="16"/>
        <v>159.80000000000001</v>
      </c>
      <c r="E24" s="5">
        <f t="shared" si="16"/>
        <v>160.69999999999999</v>
      </c>
      <c r="F24" s="5">
        <f t="shared" si="16"/>
        <v>162.6</v>
      </c>
      <c r="G24" s="5">
        <f t="shared" si="16"/>
        <v>162.6</v>
      </c>
      <c r="H24" s="5">
        <f t="shared" si="16"/>
        <v>164.2</v>
      </c>
      <c r="I24" s="5">
        <f t="shared" si="16"/>
        <v>163.9</v>
      </c>
      <c r="J24" s="5">
        <f t="shared" si="16"/>
        <v>164.1</v>
      </c>
      <c r="K24" s="5">
        <f t="shared" si="16"/>
        <v>164.2</v>
      </c>
      <c r="L24" s="5">
        <f t="shared" si="16"/>
        <v>165.7</v>
      </c>
      <c r="M24" s="5">
        <f t="shared" si="16"/>
        <v>167.2</v>
      </c>
      <c r="N24" s="5">
        <f t="shared" si="16"/>
        <v>172.2</v>
      </c>
      <c r="O24" s="5">
        <f t="shared" si="16"/>
        <v>174.6</v>
      </c>
      <c r="P24" s="5">
        <f t="shared" si="16"/>
        <v>176</v>
      </c>
      <c r="Q24" s="5">
        <f t="shared" si="16"/>
        <v>179.6</v>
      </c>
      <c r="R24" s="5">
        <f t="shared" si="16"/>
        <v>178.8</v>
      </c>
      <c r="S24" s="5">
        <f t="shared" si="16"/>
        <v>179.5</v>
      </c>
      <c r="T24" s="5">
        <f t="shared" si="16"/>
        <v>180.5</v>
      </c>
      <c r="U24" s="5">
        <f t="shared" si="16"/>
        <v>181.3</v>
      </c>
      <c r="V24" s="5">
        <f t="shared" si="16"/>
        <v>182</v>
      </c>
      <c r="W24" s="5">
        <f t="shared" si="16"/>
        <v>182</v>
      </c>
      <c r="X24" s="5">
        <f t="shared" si="16"/>
        <v>182.1</v>
      </c>
      <c r="Y24" s="5">
        <f t="shared" si="16"/>
        <v>181.9</v>
      </c>
      <c r="Z24" s="5">
        <f t="shared" si="16"/>
        <v>181.7</v>
      </c>
      <c r="AA24" s="5">
        <f t="shared" si="16"/>
        <v>182.8</v>
      </c>
      <c r="AI24" s="59">
        <v>45557</v>
      </c>
      <c r="AJ24" s="54">
        <v>95158</v>
      </c>
      <c r="AK24" s="54">
        <v>110016</v>
      </c>
      <c r="AM24" s="55" t="s">
        <v>20</v>
      </c>
      <c r="AN24" s="55" t="s">
        <v>35</v>
      </c>
      <c r="AO24" s="64">
        <f t="shared" si="2"/>
        <v>0.55347777509285989</v>
      </c>
      <c r="AP24" s="16">
        <f t="shared" si="3"/>
        <v>0.56491440600985598</v>
      </c>
    </row>
    <row r="25" spans="1:42" x14ac:dyDescent="0.25">
      <c r="A25" s="52" t="s">
        <v>163</v>
      </c>
      <c r="B25" s="5">
        <f t="shared" ref="B25:AA25" si="17">AVERAGEIFS(housing,sec,$B$4,date,B$5)</f>
        <v>468.8</v>
      </c>
      <c r="C25" s="5">
        <f t="shared" si="17"/>
        <v>475.7</v>
      </c>
      <c r="D25" s="5">
        <f t="shared" si="17"/>
        <v>475.1</v>
      </c>
      <c r="E25" s="5">
        <f t="shared" si="17"/>
        <v>478</v>
      </c>
      <c r="F25" s="5">
        <f t="shared" si="17"/>
        <v>482.2</v>
      </c>
      <c r="G25" s="5">
        <f t="shared" si="17"/>
        <v>482.2</v>
      </c>
      <c r="H25" s="5">
        <f t="shared" si="17"/>
        <v>486.19999999999993</v>
      </c>
      <c r="I25" s="5">
        <f t="shared" si="17"/>
        <v>487.40000000000003</v>
      </c>
      <c r="J25" s="5">
        <f t="shared" si="17"/>
        <v>487.7</v>
      </c>
      <c r="K25" s="5">
        <f t="shared" si="17"/>
        <v>489.79999999999995</v>
      </c>
      <c r="L25" s="5">
        <f t="shared" si="17"/>
        <v>493</v>
      </c>
      <c r="M25" s="5">
        <f t="shared" si="17"/>
        <v>495.3</v>
      </c>
      <c r="N25" s="5">
        <f t="shared" si="17"/>
        <v>503.2</v>
      </c>
      <c r="O25" s="5">
        <f t="shared" si="17"/>
        <v>507.3</v>
      </c>
      <c r="P25" s="5">
        <f t="shared" si="17"/>
        <v>509.20000000000005</v>
      </c>
      <c r="Q25" s="5">
        <f t="shared" si="17"/>
        <v>514.79999999999995</v>
      </c>
      <c r="R25" s="5">
        <f t="shared" si="17"/>
        <v>516.29999999999995</v>
      </c>
      <c r="S25" s="5">
        <f t="shared" si="17"/>
        <v>518.5</v>
      </c>
      <c r="T25" s="5">
        <f t="shared" si="17"/>
        <v>522.1</v>
      </c>
      <c r="U25" s="5">
        <f t="shared" si="17"/>
        <v>524.5</v>
      </c>
      <c r="V25" s="5">
        <f t="shared" si="17"/>
        <v>524.79999999999995</v>
      </c>
      <c r="W25" s="5">
        <f t="shared" si="17"/>
        <v>527</v>
      </c>
      <c r="X25" s="5">
        <f t="shared" si="17"/>
        <v>529.79999999999995</v>
      </c>
      <c r="Y25" s="5">
        <f t="shared" si="17"/>
        <v>529.59999999999991</v>
      </c>
      <c r="Z25" s="5">
        <f t="shared" si="17"/>
        <v>531.5</v>
      </c>
      <c r="AA25" s="5">
        <f t="shared" si="17"/>
        <v>533.59999999999991</v>
      </c>
      <c r="AI25" s="59">
        <v>45587</v>
      </c>
      <c r="AJ25" s="54">
        <v>99194</v>
      </c>
      <c r="AK25" s="54">
        <v>116548</v>
      </c>
      <c r="AM25" s="55" t="s">
        <v>21</v>
      </c>
      <c r="AN25" s="55" t="s">
        <v>35</v>
      </c>
      <c r="AO25" s="64">
        <f t="shared" si="2"/>
        <v>0.659125392434595</v>
      </c>
      <c r="AP25" s="16">
        <f t="shared" si="3"/>
        <v>0.6639601056788218</v>
      </c>
    </row>
    <row r="26" spans="1:42" x14ac:dyDescent="0.25">
      <c r="A26" s="52" t="s">
        <v>164</v>
      </c>
      <c r="B26" s="5">
        <f t="shared" ref="B26:AA26" si="18">AVERAGEIFS(health,sec,$B$4,date,B$5)</f>
        <v>162.30000000000001</v>
      </c>
      <c r="C26" s="5">
        <f t="shared" si="18"/>
        <v>165.8</v>
      </c>
      <c r="D26" s="5">
        <f t="shared" si="18"/>
        <v>166.3</v>
      </c>
      <c r="E26" s="5">
        <f t="shared" si="18"/>
        <v>167</v>
      </c>
      <c r="F26" s="5">
        <f t="shared" si="18"/>
        <v>168.4</v>
      </c>
      <c r="G26" s="5">
        <f t="shared" si="18"/>
        <v>168.4</v>
      </c>
      <c r="H26" s="5">
        <f t="shared" si="18"/>
        <v>169.1</v>
      </c>
      <c r="I26" s="5">
        <f t="shared" si="18"/>
        <v>169.9</v>
      </c>
      <c r="J26" s="5">
        <f t="shared" si="18"/>
        <v>170.6</v>
      </c>
      <c r="K26" s="5">
        <f t="shared" si="18"/>
        <v>171.4</v>
      </c>
      <c r="L26" s="5">
        <f t="shared" si="18"/>
        <v>172.2</v>
      </c>
      <c r="M26" s="5">
        <f t="shared" si="18"/>
        <v>173</v>
      </c>
      <c r="N26" s="5">
        <f t="shared" si="18"/>
        <v>174</v>
      </c>
      <c r="O26" s="5">
        <f t="shared" si="18"/>
        <v>174.8</v>
      </c>
      <c r="P26" s="5">
        <f t="shared" si="18"/>
        <v>175.4</v>
      </c>
      <c r="Q26" s="5">
        <f t="shared" si="18"/>
        <v>176.1</v>
      </c>
      <c r="R26" s="5">
        <f t="shared" si="18"/>
        <v>176.8</v>
      </c>
      <c r="S26" s="5">
        <f t="shared" si="18"/>
        <v>177.8</v>
      </c>
      <c r="T26" s="5">
        <f t="shared" si="18"/>
        <v>178.7</v>
      </c>
      <c r="U26" s="5">
        <f t="shared" si="18"/>
        <v>179.8</v>
      </c>
      <c r="V26" s="5">
        <f t="shared" si="18"/>
        <v>181.1</v>
      </c>
      <c r="W26" s="5">
        <f t="shared" si="18"/>
        <v>182.3</v>
      </c>
      <c r="X26" s="5">
        <f t="shared" si="18"/>
        <v>184.4</v>
      </c>
      <c r="Y26" s="5">
        <f t="shared" si="18"/>
        <v>184.4</v>
      </c>
      <c r="Z26" s="5">
        <f t="shared" si="18"/>
        <v>185</v>
      </c>
      <c r="AA26" s="5">
        <f t="shared" si="18"/>
        <v>185.7</v>
      </c>
      <c r="AI26" s="59">
        <v>45618</v>
      </c>
      <c r="AJ26" s="54">
        <v>100259</v>
      </c>
      <c r="AK26" s="54">
        <v>118277</v>
      </c>
      <c r="AM26" s="55" t="s">
        <v>22</v>
      </c>
      <c r="AN26" s="55" t="s">
        <v>35</v>
      </c>
      <c r="AO26" s="64">
        <f t="shared" si="2"/>
        <v>0.62373880903143508</v>
      </c>
      <c r="AP26" s="16">
        <f t="shared" si="3"/>
        <v>0.63229330145764784</v>
      </c>
    </row>
    <row r="27" spans="1:42" x14ac:dyDescent="0.25">
      <c r="A27" s="52" t="s">
        <v>165</v>
      </c>
      <c r="B27" s="5">
        <f t="shared" ref="B27:AA27" si="19">AVERAGEIFS(trans,sec,$B$4,date,B$5)</f>
        <v>146.6</v>
      </c>
      <c r="C27" s="5">
        <f t="shared" si="19"/>
        <v>148.9</v>
      </c>
      <c r="D27" s="5">
        <f t="shared" si="19"/>
        <v>150.69999999999999</v>
      </c>
      <c r="E27" s="5">
        <f t="shared" si="19"/>
        <v>153.1</v>
      </c>
      <c r="F27" s="5">
        <f t="shared" si="19"/>
        <v>154</v>
      </c>
      <c r="G27" s="5">
        <f t="shared" si="19"/>
        <v>154</v>
      </c>
      <c r="H27" s="5">
        <f t="shared" si="19"/>
        <v>155.69999999999999</v>
      </c>
      <c r="I27" s="5">
        <f t="shared" si="19"/>
        <v>154.80000000000001</v>
      </c>
      <c r="J27" s="5">
        <f t="shared" si="19"/>
        <v>155.69999999999999</v>
      </c>
      <c r="K27" s="5">
        <f t="shared" si="19"/>
        <v>156.5</v>
      </c>
      <c r="L27" s="5">
        <f t="shared" si="19"/>
        <v>156.9</v>
      </c>
      <c r="M27" s="5">
        <f t="shared" si="19"/>
        <v>157.9</v>
      </c>
      <c r="N27" s="5">
        <f t="shared" si="19"/>
        <v>162.6</v>
      </c>
      <c r="O27" s="5">
        <f t="shared" si="19"/>
        <v>163</v>
      </c>
      <c r="P27" s="5">
        <f t="shared" si="19"/>
        <v>161.1</v>
      </c>
      <c r="Q27" s="5">
        <f t="shared" si="19"/>
        <v>161.6</v>
      </c>
      <c r="R27" s="5">
        <f t="shared" si="19"/>
        <v>161.9</v>
      </c>
      <c r="S27" s="5">
        <f t="shared" si="19"/>
        <v>162.30000000000001</v>
      </c>
      <c r="T27" s="5">
        <f t="shared" si="19"/>
        <v>162.9</v>
      </c>
      <c r="U27" s="5">
        <f t="shared" si="19"/>
        <v>163</v>
      </c>
      <c r="V27" s="5">
        <f t="shared" si="19"/>
        <v>163.4</v>
      </c>
      <c r="W27" s="5">
        <f t="shared" si="19"/>
        <v>163.6</v>
      </c>
      <c r="X27" s="5">
        <f t="shared" si="19"/>
        <v>164.2</v>
      </c>
      <c r="Y27" s="5">
        <f t="shared" si="19"/>
        <v>164.2</v>
      </c>
      <c r="Z27" s="5">
        <f t="shared" si="19"/>
        <v>164.5</v>
      </c>
      <c r="AA27" s="5">
        <f t="shared" si="19"/>
        <v>164.8</v>
      </c>
      <c r="AI27" s="59">
        <v>45648</v>
      </c>
      <c r="AJ27" s="54">
        <v>94253</v>
      </c>
      <c r="AK27" s="54">
        <v>112095</v>
      </c>
      <c r="AM27" s="55" t="s">
        <v>23</v>
      </c>
      <c r="AN27" s="55" t="s">
        <v>35</v>
      </c>
      <c r="AO27" s="64">
        <f t="shared" si="2"/>
        <v>0.56022482588733835</v>
      </c>
      <c r="AP27" s="16">
        <f t="shared" si="3"/>
        <v>0.57564037663755485</v>
      </c>
    </row>
    <row r="28" spans="1:42" x14ac:dyDescent="0.25">
      <c r="A28" s="52" t="s">
        <v>166</v>
      </c>
      <c r="B28" s="5" cm="1">
        <f t="array" ref="B28">AVERAGEIFS(recreation,sec,$B$4,date,B$5)</f>
        <v>153.19999999999999</v>
      </c>
      <c r="C28" s="5" cm="1">
        <f t="array" ref="C28">AVERAGEIFS(recreation,sec,$B$4,date,C$5)</f>
        <v>155.80000000000001</v>
      </c>
      <c r="D28" s="5" cm="1">
        <f t="array" ref="D28">AVERAGEIFS(recreation,sec,$B$4,date,D$5)</f>
        <v>154.9</v>
      </c>
      <c r="E28" s="5" cm="1">
        <f t="array" ref="E28">AVERAGEIFS(recreation,sec,$B$4,date,E$5)</f>
        <v>155.30000000000001</v>
      </c>
      <c r="F28" s="5" cm="1">
        <f t="array" ref="F28">AVERAGEIFS(recreation,sec,$B$4,date,F$5)</f>
        <v>157.6</v>
      </c>
      <c r="G28" s="5" cm="1">
        <f t="array" ref="G28">AVERAGEIFS(recreation,sec,$B$4,date,G$5)</f>
        <v>157.69999999999999</v>
      </c>
      <c r="H28" s="5" cm="1">
        <f t="array" ref="H28">AVERAGEIFS(recreation,sec,$B$4,date,H$5)</f>
        <v>158.6</v>
      </c>
      <c r="I28" s="5" cm="1">
        <f t="array" ref="I28">AVERAGEIFS(recreation,sec,$B$4,date,I$5)</f>
        <v>159.80000000000001</v>
      </c>
      <c r="J28" s="5" cm="1">
        <f t="array" ref="J28">AVERAGEIFS(recreation,sec,$B$4,date,J$5)</f>
        <v>160.6</v>
      </c>
      <c r="K28" s="5" cm="1">
        <f t="array" ref="K28">AVERAGEIFS(recreation,sec,$B$4,date,K$5)</f>
        <v>161.19999999999999</v>
      </c>
      <c r="L28" s="5" cm="1">
        <f t="array" ref="L28">AVERAGEIFS(recreation,sec,$B$4,date,L$5)</f>
        <v>162.1</v>
      </c>
      <c r="M28" s="5" cm="1">
        <f t="array" ref="M28">AVERAGEIFS(recreation,sec,$B$4,date,M$5)</f>
        <v>163.30000000000001</v>
      </c>
      <c r="N28" s="5" cm="1">
        <f t="array" ref="N28">AVERAGEIFS(recreation,sec,$B$4,date,N$5)</f>
        <v>164.4</v>
      </c>
      <c r="O28" s="5" cm="1">
        <f t="array" ref="O28">AVERAGEIFS(recreation,sec,$B$4,date,O$5)</f>
        <v>165.1</v>
      </c>
      <c r="P28" s="5" cm="1">
        <f t="array" ref="P28">AVERAGEIFS(recreation,sec,$B$4,date,P$5)</f>
        <v>165.8</v>
      </c>
      <c r="Q28" s="5" cm="1">
        <f t="array" ref="Q28">AVERAGEIFS(recreation,sec,$B$4,date,Q$5)</f>
        <v>166.3</v>
      </c>
      <c r="R28" s="5" cm="1">
        <f t="array" ref="R28">AVERAGEIFS(recreation,sec,$B$4,date,R$5)</f>
        <v>166.9</v>
      </c>
      <c r="S28" s="5" cm="1">
        <f t="array" ref="S28">AVERAGEIFS(recreation,sec,$B$4,date,S$5)</f>
        <v>167.6</v>
      </c>
      <c r="T28" s="5" cm="1">
        <f t="array" ref="T28">AVERAGEIFS(recreation,sec,$B$4,date,T$5)</f>
        <v>168.2</v>
      </c>
      <c r="U28" s="5" cm="1">
        <f t="array" ref="U28">AVERAGEIFS(recreation,sec,$B$4,date,U$5)</f>
        <v>168.5</v>
      </c>
      <c r="V28" s="5" cm="1">
        <f t="array" ref="V28">AVERAGEIFS(recreation,sec,$B$4,date,V$5)</f>
        <v>168.9</v>
      </c>
      <c r="W28" s="5" cm="1">
        <f t="array" ref="W28">AVERAGEIFS(recreation,sec,$B$4,date,W$5)</f>
        <v>169.5</v>
      </c>
      <c r="X28" s="5" cm="1">
        <f t="array" ref="X28">AVERAGEIFS(recreation,sec,$B$4,date,X$5)</f>
        <v>170.3</v>
      </c>
      <c r="Y28" s="5" cm="1">
        <f t="array" ref="Y28">AVERAGEIFS(recreation,sec,$B$4,date,Y$5)</f>
        <v>170.3</v>
      </c>
      <c r="Z28" s="5" cm="1">
        <f t="array" ref="Z28">AVERAGEIFS(recreation,sec,$B$4,date,Z$5)</f>
        <v>170.7</v>
      </c>
      <c r="AA28" s="5" cm="1">
        <f t="array" ref="AA28">AVERAGEIFS(recreation,sec,$B$4,date,AA$5)</f>
        <v>171.2</v>
      </c>
      <c r="AI28" s="59">
        <v>45314</v>
      </c>
      <c r="AJ28" s="54">
        <v>92442</v>
      </c>
      <c r="AK28" s="54">
        <v>108893</v>
      </c>
      <c r="AM28" s="55" t="s">
        <v>24</v>
      </c>
      <c r="AN28" s="55" t="s">
        <v>35</v>
      </c>
      <c r="AO28" s="64">
        <f t="shared" si="2"/>
        <v>0.74967936525099721</v>
      </c>
      <c r="AP28" s="16">
        <f t="shared" si="3"/>
        <v>0.76580729023289673</v>
      </c>
    </row>
    <row r="29" spans="1:42" x14ac:dyDescent="0.25">
      <c r="A29" s="52" t="s">
        <v>167</v>
      </c>
      <c r="B29" s="5">
        <f t="shared" ref="B29:AA29" si="20">AVERAGEIFS(edu,sec,$B$4,date,B$5)</f>
        <v>160.30000000000001</v>
      </c>
      <c r="C29" s="5">
        <f t="shared" si="20"/>
        <v>161.19999999999999</v>
      </c>
      <c r="D29" s="5">
        <f t="shared" si="20"/>
        <v>161.69999999999999</v>
      </c>
      <c r="E29" s="5">
        <f t="shared" si="20"/>
        <v>163.19999999999999</v>
      </c>
      <c r="F29" s="5">
        <f t="shared" si="20"/>
        <v>163.80000000000001</v>
      </c>
      <c r="G29" s="5">
        <f t="shared" si="20"/>
        <v>163.69999999999999</v>
      </c>
      <c r="H29" s="5">
        <f t="shared" si="20"/>
        <v>163.9</v>
      </c>
      <c r="I29" s="5">
        <f t="shared" si="20"/>
        <v>164.3</v>
      </c>
      <c r="J29" s="5">
        <f t="shared" si="20"/>
        <v>164.4</v>
      </c>
      <c r="K29" s="5">
        <f t="shared" si="20"/>
        <v>164.7</v>
      </c>
      <c r="L29" s="5">
        <f t="shared" si="20"/>
        <v>165.4</v>
      </c>
      <c r="M29" s="5">
        <f t="shared" si="20"/>
        <v>166</v>
      </c>
      <c r="N29" s="5">
        <f t="shared" si="20"/>
        <v>166.9</v>
      </c>
      <c r="O29" s="5">
        <f t="shared" si="20"/>
        <v>167.9</v>
      </c>
      <c r="P29" s="5">
        <f t="shared" si="20"/>
        <v>169</v>
      </c>
      <c r="Q29" s="5">
        <f t="shared" si="20"/>
        <v>171.4</v>
      </c>
      <c r="R29" s="5">
        <f t="shared" si="20"/>
        <v>172.3</v>
      </c>
      <c r="S29" s="5">
        <f t="shared" si="20"/>
        <v>173.1</v>
      </c>
      <c r="T29" s="5">
        <f t="shared" si="20"/>
        <v>173.4</v>
      </c>
      <c r="U29" s="5">
        <f t="shared" si="20"/>
        <v>173.7</v>
      </c>
      <c r="V29" s="5">
        <f t="shared" si="20"/>
        <v>174.1</v>
      </c>
      <c r="W29" s="5">
        <f t="shared" si="20"/>
        <v>174.3</v>
      </c>
      <c r="X29" s="5">
        <f t="shared" si="20"/>
        <v>175</v>
      </c>
      <c r="Y29" s="5">
        <f t="shared" si="20"/>
        <v>175</v>
      </c>
      <c r="Z29" s="5">
        <f t="shared" si="20"/>
        <v>176.4</v>
      </c>
      <c r="AA29" s="5">
        <f t="shared" si="20"/>
        <v>177.1</v>
      </c>
      <c r="AI29" s="59">
        <v>45345</v>
      </c>
      <c r="AJ29" s="55">
        <v>85798</v>
      </c>
      <c r="AK29" s="55">
        <v>103744</v>
      </c>
      <c r="AM29" s="55" t="s">
        <v>25</v>
      </c>
      <c r="AN29" s="55" t="s">
        <v>35</v>
      </c>
      <c r="AO29" s="64">
        <f t="shared" si="2"/>
        <v>0.68895028237551004</v>
      </c>
      <c r="AP29" s="16">
        <f t="shared" si="3"/>
        <v>0.69943396433866178</v>
      </c>
    </row>
    <row r="30" spans="1:42" x14ac:dyDescent="0.25">
      <c r="A30" s="52" t="s">
        <v>168</v>
      </c>
      <c r="B30" s="5" cm="1">
        <f t="array" ref="B30">AVERAGEIFS(prsnlcare,sec,$B$4,date,B$5)</f>
        <v>155.4</v>
      </c>
      <c r="C30" s="5" cm="1">
        <f t="array" ref="C30">AVERAGEIFS(prsnlcare,sec,$B$4,date,C$5)</f>
        <v>158.6</v>
      </c>
      <c r="D30" s="5" cm="1">
        <f t="array" ref="D30">AVERAGEIFS(prsnlcare,sec,$B$4,date,D$5)</f>
        <v>158.80000000000001</v>
      </c>
      <c r="E30" s="5" cm="1">
        <f t="array" ref="E30">AVERAGEIFS(prsnlcare,sec,$B$4,date,E$5)</f>
        <v>160.1</v>
      </c>
      <c r="F30" s="5" cm="1">
        <f t="array" ref="F30">AVERAGEIFS(prsnlcare,sec,$B$4,date,F$5)</f>
        <v>160</v>
      </c>
      <c r="G30" s="5" cm="1">
        <f t="array" ref="G30">AVERAGEIFS(prsnlcare,sec,$B$4,date,G$5)</f>
        <v>160</v>
      </c>
      <c r="H30" s="5" cm="1">
        <f t="array" ref="H30">AVERAGEIFS(prsnlcare,sec,$B$4,date,H$5)</f>
        <v>160.80000000000001</v>
      </c>
      <c r="I30" s="5" cm="1">
        <f t="array" ref="I30">AVERAGEIFS(prsnlcare,sec,$B$4,date,I$5)</f>
        <v>162.19999999999999</v>
      </c>
      <c r="J30" s="5" cm="1">
        <f t="array" ref="J30">AVERAGEIFS(prsnlcare,sec,$B$4,date,J$5)</f>
        <v>162.6</v>
      </c>
      <c r="K30" s="5" cm="1">
        <f t="array" ref="K30">AVERAGEIFS(prsnlcare,sec,$B$4,date,K$5)</f>
        <v>163</v>
      </c>
      <c r="L30" s="5" cm="1">
        <f t="array" ref="L30">AVERAGEIFS(prsnlcare,sec,$B$4,date,L$5)</f>
        <v>164.4</v>
      </c>
      <c r="M30" s="5" cm="1">
        <f t="array" ref="M30">AVERAGEIFS(prsnlcare,sec,$B$4,date,M$5)</f>
        <v>167.2</v>
      </c>
      <c r="N30" s="5" cm="1">
        <f t="array" ref="N30">AVERAGEIFS(prsnlcare,sec,$B$4,date,N$5)</f>
        <v>168.8</v>
      </c>
      <c r="O30" s="5" cm="1">
        <f t="array" ref="O30">AVERAGEIFS(prsnlcare,sec,$B$4,date,O$5)</f>
        <v>168.4</v>
      </c>
      <c r="P30" s="5" cm="1">
        <f t="array" ref="P30">AVERAGEIFS(prsnlcare,sec,$B$4,date,P$5)</f>
        <v>169.4</v>
      </c>
      <c r="Q30" s="5" cm="1">
        <f t="array" ref="Q30">AVERAGEIFS(prsnlcare,sec,$B$4,date,Q$5)</f>
        <v>169.7</v>
      </c>
      <c r="R30" s="5" cm="1">
        <f t="array" ref="R30">AVERAGEIFS(prsnlcare,sec,$B$4,date,R$5)</f>
        <v>171.2</v>
      </c>
      <c r="S30" s="5" cm="1">
        <f t="array" ref="S30">AVERAGEIFS(prsnlcare,sec,$B$4,date,S$5)</f>
        <v>170.9</v>
      </c>
      <c r="T30" s="5" cm="1">
        <f t="array" ref="T30">AVERAGEIFS(prsnlcare,sec,$B$4,date,T$5)</f>
        <v>172.1</v>
      </c>
      <c r="U30" s="5" cm="1">
        <f t="array" ref="U30">AVERAGEIFS(prsnlcare,sec,$B$4,date,U$5)</f>
        <v>173.6</v>
      </c>
      <c r="V30" s="5" cm="1">
        <f t="array" ref="V30">AVERAGEIFS(prsnlcare,sec,$B$4,date,V$5)</f>
        <v>175.8</v>
      </c>
      <c r="W30" s="5" cm="1">
        <f t="array" ref="W30">AVERAGEIFS(prsnlcare,sec,$B$4,date,W$5)</f>
        <v>178.6</v>
      </c>
      <c r="X30" s="5" cm="1">
        <f t="array" ref="X30">AVERAGEIFS(prsnlcare,sec,$B$4,date,X$5)</f>
        <v>181</v>
      </c>
      <c r="Y30" s="5" cm="1">
        <f t="array" ref="Y30">AVERAGEIFS(prsnlcare,sec,$B$4,date,Y$5)</f>
        <v>181</v>
      </c>
      <c r="Z30" s="5" cm="1">
        <f t="array" ref="Z30">AVERAGEIFS(prsnlcare,sec,$B$4,date,Z$5)</f>
        <v>184</v>
      </c>
      <c r="AA30" s="5" cm="1">
        <f t="array" ref="AA30">AVERAGEIFS(prsnlcare,sec,$B$4,date,AA$5)</f>
        <v>185.2</v>
      </c>
      <c r="AI30" s="59">
        <v>45374</v>
      </c>
      <c r="AJ30" s="55">
        <v>89613</v>
      </c>
      <c r="AK30" s="55">
        <v>107656</v>
      </c>
      <c r="AM30" s="55" t="s">
        <v>26</v>
      </c>
      <c r="AN30" s="55" t="s">
        <v>35</v>
      </c>
      <c r="AO30" s="64">
        <f t="shared" si="2"/>
        <v>0.5519808318430971</v>
      </c>
      <c r="AP30" s="16">
        <f t="shared" si="3"/>
        <v>0.55988051509446923</v>
      </c>
    </row>
    <row r="31" spans="1:42" x14ac:dyDescent="0.25">
      <c r="A31" s="52" t="s">
        <v>169</v>
      </c>
      <c r="B31" s="5" cm="1">
        <f t="array" ref="B31">AVERAGEIFS(miscellaneous,sec,$B$4,date,B$5)</f>
        <v>154.4</v>
      </c>
      <c r="C31" s="5" cm="1">
        <f t="array" ref="C31">AVERAGEIFS(miscellaneous,sec,$B$4,date,C$5)</f>
        <v>156.80000000000001</v>
      </c>
      <c r="D31" s="5" cm="1">
        <f t="array" ref="D31">AVERAGEIFS(miscellaneous,sec,$B$4,date,D$5)</f>
        <v>157.6</v>
      </c>
      <c r="E31" s="5" cm="1">
        <f t="array" ref="E31">AVERAGEIFS(miscellaneous,sec,$B$4,date,E$5)</f>
        <v>159</v>
      </c>
      <c r="F31" s="5" cm="1">
        <f t="array" ref="F31">AVERAGEIFS(miscellaneous,sec,$B$4,date,F$5)</f>
        <v>160</v>
      </c>
      <c r="G31" s="5" cm="1">
        <f t="array" ref="G31">AVERAGEIFS(miscellaneous,sec,$B$4,date,G$5)</f>
        <v>160</v>
      </c>
      <c r="H31" s="5" cm="1">
        <f t="array" ref="H31">AVERAGEIFS(miscellaneous,sec,$B$4,date,H$5)</f>
        <v>161</v>
      </c>
      <c r="I31" s="5" cm="1">
        <f t="array" ref="I31">AVERAGEIFS(miscellaneous,sec,$B$4,date,I$5)</f>
        <v>161.4</v>
      </c>
      <c r="J31" s="5" cm="1">
        <f t="array" ref="J31">AVERAGEIFS(miscellaneous,sec,$B$4,date,J$5)</f>
        <v>162</v>
      </c>
      <c r="K31" s="5" cm="1">
        <f t="array" ref="K31">AVERAGEIFS(miscellaneous,sec,$B$4,date,K$5)</f>
        <v>162.69999999999999</v>
      </c>
      <c r="L31" s="5" cm="1">
        <f t="array" ref="L31">AVERAGEIFS(miscellaneous,sec,$B$4,date,L$5)</f>
        <v>163.5</v>
      </c>
      <c r="M31" s="5" cm="1">
        <f t="array" ref="M31">AVERAGEIFS(miscellaneous,sec,$B$4,date,M$5)</f>
        <v>164.6</v>
      </c>
      <c r="N31" s="5" cm="1">
        <f t="array" ref="N31">AVERAGEIFS(miscellaneous,sec,$B$4,date,N$5)</f>
        <v>166.8</v>
      </c>
      <c r="O31" s="5" cm="1">
        <f t="array" ref="O31">AVERAGEIFS(miscellaneous,sec,$B$4,date,O$5)</f>
        <v>167.5</v>
      </c>
      <c r="P31" s="5" cm="1">
        <f t="array" ref="P31">AVERAGEIFS(miscellaneous,sec,$B$4,date,P$5)</f>
        <v>167.5</v>
      </c>
      <c r="Q31" s="5" cm="1">
        <f t="array" ref="Q31">AVERAGEIFS(miscellaneous,sec,$B$4,date,Q$5)</f>
        <v>168.4</v>
      </c>
      <c r="R31" s="5" cm="1">
        <f t="array" ref="R31">AVERAGEIFS(miscellaneous,sec,$B$4,date,R$5)</f>
        <v>169.1</v>
      </c>
      <c r="S31" s="5" cm="1">
        <f t="array" ref="S31">AVERAGEIFS(miscellaneous,sec,$B$4,date,S$5)</f>
        <v>169.7</v>
      </c>
      <c r="T31" s="5" cm="1">
        <f t="array" ref="T31">AVERAGEIFS(miscellaneous,sec,$B$4,date,T$5)</f>
        <v>170.5</v>
      </c>
      <c r="U31" s="5" cm="1">
        <f t="array" ref="U31">AVERAGEIFS(miscellaneous,sec,$B$4,date,U$5)</f>
        <v>171.1</v>
      </c>
      <c r="V31" s="5" cm="1">
        <f t="array" ref="V31">AVERAGEIFS(miscellaneous,sec,$B$4,date,V$5)</f>
        <v>172</v>
      </c>
      <c r="W31" s="5" cm="1">
        <f t="array" ref="W31">AVERAGEIFS(miscellaneous,sec,$B$4,date,W$5)</f>
        <v>172.8</v>
      </c>
      <c r="X31" s="5" cm="1">
        <f t="array" ref="X31">AVERAGEIFS(miscellaneous,sec,$B$4,date,X$5)</f>
        <v>174.1</v>
      </c>
      <c r="Y31" s="5" cm="1">
        <f t="array" ref="Y31">AVERAGEIFS(miscellaneous,sec,$B$4,date,Y$5)</f>
        <v>174.1</v>
      </c>
      <c r="Z31" s="5" cm="1">
        <f t="array" ref="Z31">AVERAGEIFS(miscellaneous,sec,$B$4,date,Z$5)</f>
        <v>175</v>
      </c>
      <c r="AA31" s="5" cm="1">
        <f t="array" ref="AA31">AVERAGEIFS(miscellaneous,sec,$B$4,date,AA$5)</f>
        <v>175.7</v>
      </c>
      <c r="AM31" s="55" t="s">
        <v>27</v>
      </c>
      <c r="AN31" s="55" t="s">
        <v>35</v>
      </c>
      <c r="AO31" s="64">
        <f t="shared" si="2"/>
        <v>0.55335719637124781</v>
      </c>
      <c r="AP31" s="16">
        <f t="shared" si="3"/>
        <v>0.56755625128124643</v>
      </c>
    </row>
    <row r="32" spans="1:42" x14ac:dyDescent="0.25">
      <c r="A32" s="52" t="s">
        <v>129</v>
      </c>
      <c r="B32" s="5">
        <f t="shared" ref="B32:AA32" si="21">AVERAGEIFS(GnrlIndx,sec,$B$4,date,B$5)</f>
        <v>157.80000000000001</v>
      </c>
      <c r="C32" s="5">
        <f t="shared" si="21"/>
        <v>160.4</v>
      </c>
      <c r="D32" s="5">
        <f t="shared" si="21"/>
        <v>161.30000000000001</v>
      </c>
      <c r="E32" s="5">
        <f t="shared" si="21"/>
        <v>162.5</v>
      </c>
      <c r="F32" s="5">
        <f t="shared" si="21"/>
        <v>163.19999999999999</v>
      </c>
      <c r="G32" s="5">
        <f t="shared" si="21"/>
        <v>163.19999999999999</v>
      </c>
      <c r="H32" s="5">
        <f t="shared" si="21"/>
        <v>165.5</v>
      </c>
      <c r="I32" s="5">
        <f t="shared" si="21"/>
        <v>166.7</v>
      </c>
      <c r="J32" s="5">
        <f t="shared" si="21"/>
        <v>166.2</v>
      </c>
      <c r="K32" s="5">
        <f t="shared" si="21"/>
        <v>165.7</v>
      </c>
      <c r="L32" s="5">
        <f t="shared" si="21"/>
        <v>166.1</v>
      </c>
      <c r="M32" s="5">
        <f t="shared" si="21"/>
        <v>167.7</v>
      </c>
      <c r="N32" s="5">
        <f t="shared" si="21"/>
        <v>170.1</v>
      </c>
      <c r="O32" s="5">
        <f t="shared" si="21"/>
        <v>171.7</v>
      </c>
      <c r="P32" s="5">
        <f t="shared" si="21"/>
        <v>172.6</v>
      </c>
      <c r="Q32" s="5">
        <f t="shared" si="21"/>
        <v>173.4</v>
      </c>
      <c r="R32" s="5">
        <f t="shared" si="21"/>
        <v>174.3</v>
      </c>
      <c r="S32" s="5">
        <f t="shared" si="21"/>
        <v>175.3</v>
      </c>
      <c r="T32" s="5">
        <f t="shared" si="21"/>
        <v>176.7</v>
      </c>
      <c r="U32" s="5">
        <f t="shared" si="21"/>
        <v>176.5</v>
      </c>
      <c r="V32" s="5">
        <f t="shared" si="21"/>
        <v>175.7</v>
      </c>
      <c r="W32" s="5">
        <f t="shared" si="21"/>
        <v>176.5</v>
      </c>
      <c r="X32" s="5">
        <f t="shared" si="21"/>
        <v>177.2</v>
      </c>
      <c r="Y32" s="5">
        <f t="shared" si="21"/>
        <v>177.2</v>
      </c>
      <c r="Z32" s="5">
        <f t="shared" si="21"/>
        <v>178.1</v>
      </c>
      <c r="AA32" s="5">
        <f t="shared" si="21"/>
        <v>179.1</v>
      </c>
      <c r="AM32" s="55" t="s">
        <v>28</v>
      </c>
      <c r="AN32" s="55" t="s">
        <v>35</v>
      </c>
      <c r="AO32" s="64">
        <f t="shared" si="2"/>
        <v>0.63708980768360279</v>
      </c>
      <c r="AP32" s="16">
        <f t="shared" si="3"/>
        <v>0.65067622223497756</v>
      </c>
    </row>
    <row r="33" spans="1:65" x14ac:dyDescent="0.25">
      <c r="AM33" s="5" t="s">
        <v>29</v>
      </c>
      <c r="AN33" s="5" t="s">
        <v>35</v>
      </c>
      <c r="AO33" s="64">
        <f t="shared" si="2"/>
        <v>0.65311639716447722</v>
      </c>
      <c r="AP33" s="16">
        <f t="shared" si="3"/>
        <v>0.6644261364531413</v>
      </c>
    </row>
    <row r="35" spans="1:65" x14ac:dyDescent="0.25">
      <c r="A35" s="51" t="s">
        <v>170</v>
      </c>
    </row>
    <row r="36" spans="1:65" x14ac:dyDescent="0.25">
      <c r="A36" s="37" t="s">
        <v>86</v>
      </c>
      <c r="B36" s="34" t="s">
        <v>131</v>
      </c>
      <c r="C36" s="34" t="s">
        <v>132</v>
      </c>
      <c r="D36" s="34" t="s">
        <v>133</v>
      </c>
      <c r="E36" s="34" t="s">
        <v>134</v>
      </c>
      <c r="F36" s="34" t="s">
        <v>135</v>
      </c>
      <c r="G36" s="34" t="s">
        <v>136</v>
      </c>
      <c r="H36" s="34" t="s">
        <v>137</v>
      </c>
      <c r="I36" s="34" t="s">
        <v>138</v>
      </c>
      <c r="J36" s="34" t="s">
        <v>139</v>
      </c>
      <c r="K36" s="34" t="s">
        <v>140</v>
      </c>
      <c r="L36" s="34" t="s">
        <v>141</v>
      </c>
      <c r="M36" s="34" t="s">
        <v>142</v>
      </c>
      <c r="N36" s="34" t="s">
        <v>143</v>
      </c>
      <c r="O36" s="34" t="s">
        <v>67</v>
      </c>
      <c r="P36" s="34" t="s">
        <v>68</v>
      </c>
      <c r="Q36" s="34" t="s">
        <v>69</v>
      </c>
      <c r="R36" s="34" t="s">
        <v>70</v>
      </c>
      <c r="S36" s="34" t="s">
        <v>71</v>
      </c>
      <c r="T36" s="34" t="s">
        <v>72</v>
      </c>
      <c r="U36" s="34" t="s">
        <v>73</v>
      </c>
      <c r="V36" s="34" t="s">
        <v>74</v>
      </c>
      <c r="W36" s="34" t="s">
        <v>75</v>
      </c>
      <c r="X36" s="34" t="s">
        <v>76</v>
      </c>
      <c r="Y36" s="34" t="s">
        <v>77</v>
      </c>
    </row>
    <row r="37" spans="1:65" x14ac:dyDescent="0.25">
      <c r="A37" s="52" t="s">
        <v>144</v>
      </c>
      <c r="B37" s="5">
        <v>144.30000000000001</v>
      </c>
      <c r="C37" s="5">
        <v>146.30000000000001</v>
      </c>
      <c r="D37" s="5">
        <v>146.69999999999999</v>
      </c>
      <c r="E37" s="5">
        <v>146.4</v>
      </c>
      <c r="F37" s="5">
        <v>146.6</v>
      </c>
      <c r="G37" s="5">
        <v>146.6</v>
      </c>
      <c r="H37" s="5">
        <v>147.4</v>
      </c>
      <c r="I37" s="5">
        <v>148.19999999999999</v>
      </c>
      <c r="J37" s="5">
        <v>148.69999999999999</v>
      </c>
      <c r="K37" s="5">
        <v>149.5</v>
      </c>
      <c r="L37" s="5">
        <v>150</v>
      </c>
      <c r="M37" s="5">
        <v>151.30000000000001</v>
      </c>
      <c r="N37" s="5">
        <v>152.9</v>
      </c>
      <c r="O37" s="5">
        <v>154.1</v>
      </c>
      <c r="P37" s="5">
        <v>155</v>
      </c>
      <c r="Q37" s="5">
        <v>156.5</v>
      </c>
      <c r="R37" s="5">
        <v>160.30000000000001</v>
      </c>
      <c r="S37" s="5">
        <v>163.5</v>
      </c>
      <c r="T37" s="5">
        <v>165.2</v>
      </c>
      <c r="U37" s="5">
        <v>167.4</v>
      </c>
      <c r="V37" s="5">
        <v>169.2</v>
      </c>
      <c r="W37" s="5">
        <v>173.8</v>
      </c>
      <c r="X37" s="5">
        <v>174.4</v>
      </c>
      <c r="Y37" s="5">
        <v>174.4</v>
      </c>
      <c r="AE37" s="60"/>
      <c r="AF37" s="60"/>
    </row>
    <row r="38" spans="1:65" x14ac:dyDescent="0.25">
      <c r="A38" s="52" t="s">
        <v>145</v>
      </c>
      <c r="B38" s="5">
        <v>198</v>
      </c>
      <c r="C38" s="5">
        <v>200.5</v>
      </c>
      <c r="D38" s="5">
        <v>202</v>
      </c>
      <c r="E38" s="5">
        <v>206.8</v>
      </c>
      <c r="F38" s="5">
        <v>204</v>
      </c>
      <c r="G38" s="5">
        <v>204</v>
      </c>
      <c r="H38" s="5">
        <v>204.6</v>
      </c>
      <c r="I38" s="5">
        <v>201.6</v>
      </c>
      <c r="J38" s="5">
        <v>198.8</v>
      </c>
      <c r="K38" s="5">
        <v>198.7</v>
      </c>
      <c r="L38" s="5">
        <v>200.6</v>
      </c>
      <c r="M38" s="5">
        <v>210.7</v>
      </c>
      <c r="N38" s="5">
        <v>211.8</v>
      </c>
      <c r="O38" s="5">
        <v>217</v>
      </c>
      <c r="P38" s="5">
        <v>219.4</v>
      </c>
      <c r="Q38" s="5">
        <v>213</v>
      </c>
      <c r="R38" s="5">
        <v>206.5</v>
      </c>
      <c r="S38" s="5">
        <v>209.2</v>
      </c>
      <c r="T38" s="5">
        <v>210.9</v>
      </c>
      <c r="U38" s="5">
        <v>209.4</v>
      </c>
      <c r="V38" s="5">
        <v>209</v>
      </c>
      <c r="W38" s="5">
        <v>210.7</v>
      </c>
      <c r="X38" s="5">
        <v>207.7</v>
      </c>
      <c r="Y38" s="5">
        <v>207.7</v>
      </c>
    </row>
    <row r="39" spans="1:65" ht="14.45" customHeight="1" x14ac:dyDescent="0.25">
      <c r="A39" s="52" t="s">
        <v>146</v>
      </c>
      <c r="B39" s="5">
        <v>164.6</v>
      </c>
      <c r="C39" s="5">
        <v>170.3</v>
      </c>
      <c r="D39" s="5">
        <v>180.7</v>
      </c>
      <c r="E39" s="5">
        <v>182.2</v>
      </c>
      <c r="F39" s="5">
        <v>172.8</v>
      </c>
      <c r="G39" s="5">
        <v>172.8</v>
      </c>
      <c r="H39" s="5">
        <v>171.2</v>
      </c>
      <c r="I39" s="5">
        <v>173</v>
      </c>
      <c r="J39" s="5">
        <v>177.9</v>
      </c>
      <c r="K39" s="5">
        <v>178.8</v>
      </c>
      <c r="L39" s="5">
        <v>175.8</v>
      </c>
      <c r="M39" s="5">
        <v>167.8</v>
      </c>
      <c r="N39" s="5">
        <v>164.5</v>
      </c>
      <c r="O39" s="5">
        <v>162.4</v>
      </c>
      <c r="P39" s="5">
        <v>170.8</v>
      </c>
      <c r="Q39" s="5">
        <v>175.2</v>
      </c>
      <c r="R39" s="5">
        <v>169.2</v>
      </c>
      <c r="S39" s="5">
        <v>169.7</v>
      </c>
      <c r="T39" s="5">
        <v>170.9</v>
      </c>
      <c r="U39" s="5">
        <v>181.4</v>
      </c>
      <c r="V39" s="5">
        <v>190.2</v>
      </c>
      <c r="W39" s="5">
        <v>194.5</v>
      </c>
      <c r="X39" s="5">
        <v>175.2</v>
      </c>
      <c r="Y39" s="5">
        <v>175.2</v>
      </c>
      <c r="AI39" s="150" t="s">
        <v>189</v>
      </c>
      <c r="AJ39" s="151"/>
      <c r="AK39" s="151"/>
      <c r="AL39" s="152"/>
    </row>
    <row r="40" spans="1:65" x14ac:dyDescent="0.25">
      <c r="A40" s="52" t="s">
        <v>147</v>
      </c>
      <c r="B40" s="5">
        <v>155.4</v>
      </c>
      <c r="C40" s="5">
        <v>156.1</v>
      </c>
      <c r="D40" s="5">
        <v>156.19999999999999</v>
      </c>
      <c r="E40" s="5">
        <v>157.5</v>
      </c>
      <c r="F40" s="5">
        <v>158.4</v>
      </c>
      <c r="G40" s="5">
        <v>158.4</v>
      </c>
      <c r="H40" s="5">
        <v>158.69999999999999</v>
      </c>
      <c r="I40" s="5">
        <v>159.30000000000001</v>
      </c>
      <c r="J40" s="5">
        <v>159.9</v>
      </c>
      <c r="K40" s="5">
        <v>160.5</v>
      </c>
      <c r="L40" s="5">
        <v>160.69999999999999</v>
      </c>
      <c r="M40" s="5">
        <v>162.19999999999999</v>
      </c>
      <c r="N40" s="5">
        <v>163.9</v>
      </c>
      <c r="O40" s="5">
        <v>164.9</v>
      </c>
      <c r="P40" s="5">
        <v>165.8</v>
      </c>
      <c r="Q40" s="5">
        <v>166.6</v>
      </c>
      <c r="R40" s="5">
        <v>168.1</v>
      </c>
      <c r="S40" s="5">
        <v>169.7</v>
      </c>
      <c r="T40" s="5">
        <v>170.9</v>
      </c>
      <c r="U40" s="5">
        <v>172.3</v>
      </c>
      <c r="V40" s="5">
        <v>173.6</v>
      </c>
      <c r="W40" s="5">
        <v>174.6</v>
      </c>
      <c r="X40" s="5">
        <v>177.3</v>
      </c>
      <c r="Y40" s="5">
        <v>177.3</v>
      </c>
      <c r="AJ40" s="90" t="s">
        <v>130</v>
      </c>
      <c r="AK40" s="90" t="s">
        <v>175</v>
      </c>
    </row>
    <row r="41" spans="1:65" x14ac:dyDescent="0.25">
      <c r="A41" s="52" t="s">
        <v>148</v>
      </c>
      <c r="B41" s="5">
        <v>164.4</v>
      </c>
      <c r="C41" s="5">
        <v>167.1</v>
      </c>
      <c r="D41" s="5">
        <v>164.6</v>
      </c>
      <c r="E41" s="5">
        <v>163.9</v>
      </c>
      <c r="F41" s="5">
        <v>156.80000000000001</v>
      </c>
      <c r="G41" s="5">
        <v>156.69999999999999</v>
      </c>
      <c r="H41" s="5">
        <v>155.69999999999999</v>
      </c>
      <c r="I41" s="5">
        <v>156.5</v>
      </c>
      <c r="J41" s="5">
        <v>154.9</v>
      </c>
      <c r="K41" s="5">
        <v>153.69999999999999</v>
      </c>
      <c r="L41" s="5">
        <v>153.69999999999999</v>
      </c>
      <c r="M41" s="5">
        <v>157.6</v>
      </c>
      <c r="N41" s="5">
        <v>172.6</v>
      </c>
      <c r="O41" s="5">
        <v>171</v>
      </c>
      <c r="P41" s="5">
        <v>169.7</v>
      </c>
      <c r="Q41" s="5">
        <v>174.2</v>
      </c>
      <c r="R41" s="5">
        <v>172.9</v>
      </c>
      <c r="S41" s="5">
        <v>165.7</v>
      </c>
      <c r="T41" s="5">
        <v>163.80000000000001</v>
      </c>
      <c r="U41" s="5">
        <v>160.69999999999999</v>
      </c>
      <c r="V41" s="5">
        <v>158</v>
      </c>
      <c r="W41" s="5">
        <v>158.30000000000001</v>
      </c>
      <c r="X41" s="5">
        <v>169.5</v>
      </c>
      <c r="Y41" s="5">
        <v>169.5</v>
      </c>
      <c r="AJ41" s="35" t="s">
        <v>4</v>
      </c>
      <c r="AK41" s="16">
        <v>0.77688985208576888</v>
      </c>
    </row>
    <row r="42" spans="1:65" x14ac:dyDescent="0.25">
      <c r="A42" s="52" t="s">
        <v>149</v>
      </c>
      <c r="B42" s="5">
        <v>170.1</v>
      </c>
      <c r="C42" s="5">
        <v>178.7</v>
      </c>
      <c r="D42" s="5">
        <v>183.7</v>
      </c>
      <c r="E42" s="5">
        <v>182.1</v>
      </c>
      <c r="F42" s="5">
        <v>188</v>
      </c>
      <c r="G42" s="5">
        <v>188</v>
      </c>
      <c r="H42" s="5">
        <v>190.6</v>
      </c>
      <c r="I42" s="5">
        <v>190.1</v>
      </c>
      <c r="J42" s="5">
        <v>187.6</v>
      </c>
      <c r="K42" s="5">
        <v>184.7</v>
      </c>
      <c r="L42" s="5">
        <v>184.9</v>
      </c>
      <c r="M42" s="5">
        <v>194.6</v>
      </c>
      <c r="N42" s="5">
        <v>199.5</v>
      </c>
      <c r="O42" s="5">
        <v>202.4</v>
      </c>
      <c r="P42" s="5">
        <v>200.9</v>
      </c>
      <c r="Q42" s="5">
        <v>195.8</v>
      </c>
      <c r="R42" s="5">
        <v>192.4</v>
      </c>
      <c r="S42" s="5">
        <v>188.7</v>
      </c>
      <c r="T42" s="5">
        <v>186.5</v>
      </c>
      <c r="U42" s="5">
        <v>188.9</v>
      </c>
      <c r="V42" s="5">
        <v>188.5</v>
      </c>
      <c r="W42" s="5">
        <v>187.2</v>
      </c>
      <c r="X42" s="5">
        <v>179.3</v>
      </c>
      <c r="Y42" s="5">
        <v>179.2</v>
      </c>
      <c r="AJ42" s="35" t="s">
        <v>7</v>
      </c>
      <c r="AK42" s="16">
        <v>0.76921432308331628</v>
      </c>
    </row>
    <row r="43" spans="1:65" x14ac:dyDescent="0.25">
      <c r="A43" s="52" t="s">
        <v>150</v>
      </c>
      <c r="B43" s="5">
        <v>144.1</v>
      </c>
      <c r="C43" s="5">
        <v>147.9</v>
      </c>
      <c r="D43" s="5">
        <v>155.4</v>
      </c>
      <c r="E43" s="5">
        <v>164.2</v>
      </c>
      <c r="F43" s="5">
        <v>162.19999999999999</v>
      </c>
      <c r="G43" s="5">
        <v>162.30000000000001</v>
      </c>
      <c r="H43" s="5">
        <v>185.3</v>
      </c>
      <c r="I43" s="5">
        <v>199.2</v>
      </c>
      <c r="J43" s="5">
        <v>188.3</v>
      </c>
      <c r="K43" s="5">
        <v>174.3</v>
      </c>
      <c r="L43" s="5">
        <v>169.7</v>
      </c>
      <c r="M43" s="5">
        <v>166.9</v>
      </c>
      <c r="N43" s="5">
        <v>166.2</v>
      </c>
      <c r="O43" s="5">
        <v>174.9</v>
      </c>
      <c r="P43" s="5">
        <v>182.3</v>
      </c>
      <c r="Q43" s="5">
        <v>182.1</v>
      </c>
      <c r="R43" s="5">
        <v>186.7</v>
      </c>
      <c r="S43" s="5">
        <v>191.8</v>
      </c>
      <c r="T43" s="5">
        <v>199.7</v>
      </c>
      <c r="U43" s="5">
        <v>183.1</v>
      </c>
      <c r="V43" s="5">
        <v>159.9</v>
      </c>
      <c r="W43" s="5">
        <v>153.9</v>
      </c>
      <c r="X43" s="5">
        <v>152.69999999999999</v>
      </c>
      <c r="Y43" s="5">
        <v>152.80000000000001</v>
      </c>
      <c r="AJ43" s="35" t="s">
        <v>24</v>
      </c>
      <c r="AK43" s="16">
        <v>0.74967936525099721</v>
      </c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</row>
    <row r="44" spans="1:65" x14ac:dyDescent="0.25">
      <c r="A44" s="52" t="s">
        <v>151</v>
      </c>
      <c r="B44" s="5">
        <v>161.69999999999999</v>
      </c>
      <c r="C44" s="5">
        <v>165.4</v>
      </c>
      <c r="D44" s="5">
        <v>166</v>
      </c>
      <c r="E44" s="5">
        <v>164</v>
      </c>
      <c r="F44" s="5">
        <v>164.1</v>
      </c>
      <c r="G44" s="5">
        <v>164.1</v>
      </c>
      <c r="H44" s="5">
        <v>165.2</v>
      </c>
      <c r="I44" s="5">
        <v>165.3</v>
      </c>
      <c r="J44" s="5">
        <v>164.4</v>
      </c>
      <c r="K44" s="5">
        <v>163.9</v>
      </c>
      <c r="L44" s="5">
        <v>163.69999999999999</v>
      </c>
      <c r="M44" s="5">
        <v>163.9</v>
      </c>
      <c r="N44" s="5">
        <v>164.7</v>
      </c>
      <c r="O44" s="5">
        <v>164.7</v>
      </c>
      <c r="P44" s="5">
        <v>164.3</v>
      </c>
      <c r="Q44" s="5">
        <v>164.3</v>
      </c>
      <c r="R44" s="5">
        <v>167.2</v>
      </c>
      <c r="S44" s="5">
        <v>169.1</v>
      </c>
      <c r="T44" s="5">
        <v>169.8</v>
      </c>
      <c r="U44" s="5">
        <v>170.5</v>
      </c>
      <c r="V44" s="5">
        <v>170.8</v>
      </c>
      <c r="W44" s="5">
        <v>170.9</v>
      </c>
      <c r="X44" s="5">
        <v>171</v>
      </c>
      <c r="Y44" s="5">
        <v>171.1</v>
      </c>
      <c r="AJ44" s="35" t="s">
        <v>25</v>
      </c>
      <c r="AK44" s="16">
        <v>0.68895028237551004</v>
      </c>
      <c r="AL44" s="62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</row>
    <row r="45" spans="1:65" x14ac:dyDescent="0.25">
      <c r="A45" s="52" t="s">
        <v>152</v>
      </c>
      <c r="B45" s="5">
        <v>113.1</v>
      </c>
      <c r="C45" s="5">
        <v>114.8</v>
      </c>
      <c r="D45" s="5">
        <v>115.1</v>
      </c>
      <c r="E45" s="5">
        <v>114.5</v>
      </c>
      <c r="F45" s="5">
        <v>119.7</v>
      </c>
      <c r="G45" s="5">
        <v>119.7</v>
      </c>
      <c r="H45" s="5">
        <v>121.9</v>
      </c>
      <c r="I45" s="5">
        <v>122.4</v>
      </c>
      <c r="J45" s="5">
        <v>121</v>
      </c>
      <c r="K45" s="5">
        <v>120</v>
      </c>
      <c r="L45" s="5">
        <v>118.9</v>
      </c>
      <c r="M45" s="5">
        <v>118.8</v>
      </c>
      <c r="N45" s="5">
        <v>119</v>
      </c>
      <c r="O45" s="5">
        <v>119.7</v>
      </c>
      <c r="P45" s="5">
        <v>119.9</v>
      </c>
      <c r="Q45" s="5">
        <v>120</v>
      </c>
      <c r="R45" s="5">
        <v>120.9</v>
      </c>
      <c r="S45" s="5">
        <v>121.6</v>
      </c>
      <c r="T45" s="5">
        <v>121.9</v>
      </c>
      <c r="U45" s="5">
        <v>122.1</v>
      </c>
      <c r="V45" s="5">
        <v>121.8</v>
      </c>
      <c r="W45" s="5">
        <v>121.1</v>
      </c>
      <c r="X45" s="5">
        <v>120</v>
      </c>
      <c r="Y45" s="5">
        <v>120</v>
      </c>
      <c r="AJ45" s="35" t="s">
        <v>15</v>
      </c>
      <c r="AK45" s="16">
        <v>0.66258790385956778</v>
      </c>
      <c r="AL45" s="62"/>
    </row>
    <row r="46" spans="1:65" x14ac:dyDescent="0.25">
      <c r="A46" s="52" t="s">
        <v>153</v>
      </c>
      <c r="B46" s="5">
        <v>163.9</v>
      </c>
      <c r="C46" s="5">
        <v>168.2</v>
      </c>
      <c r="D46" s="5">
        <v>168.5</v>
      </c>
      <c r="E46" s="5">
        <v>168.3</v>
      </c>
      <c r="F46" s="5">
        <v>168.8</v>
      </c>
      <c r="G46" s="5">
        <v>168.8</v>
      </c>
      <c r="H46" s="5">
        <v>169.3</v>
      </c>
      <c r="I46" s="5">
        <v>169.6</v>
      </c>
      <c r="J46" s="5">
        <v>170.5</v>
      </c>
      <c r="K46" s="5">
        <v>172.1</v>
      </c>
      <c r="L46" s="5">
        <v>174.3</v>
      </c>
      <c r="M46" s="5">
        <v>177.4</v>
      </c>
      <c r="N46" s="5">
        <v>181.3</v>
      </c>
      <c r="O46" s="5">
        <v>184.9</v>
      </c>
      <c r="P46" s="5">
        <v>187.1</v>
      </c>
      <c r="Q46" s="5">
        <v>190</v>
      </c>
      <c r="R46" s="5">
        <v>193.6</v>
      </c>
      <c r="S46" s="5">
        <v>197.3</v>
      </c>
      <c r="T46" s="5">
        <v>199.9</v>
      </c>
      <c r="U46" s="5">
        <v>202.8</v>
      </c>
      <c r="V46" s="5">
        <v>205.2</v>
      </c>
      <c r="W46" s="5">
        <v>208.4</v>
      </c>
      <c r="X46" s="5">
        <v>209.7</v>
      </c>
      <c r="Y46" s="5">
        <v>209.7</v>
      </c>
      <c r="AJ46" s="35" t="s">
        <v>21</v>
      </c>
      <c r="AK46" s="16">
        <v>0.659125392434595</v>
      </c>
      <c r="AL46" s="62"/>
    </row>
    <row r="47" spans="1:65" x14ac:dyDescent="0.25">
      <c r="A47" s="52" t="s">
        <v>154</v>
      </c>
      <c r="B47" s="5">
        <v>157.6</v>
      </c>
      <c r="C47" s="5">
        <v>159.30000000000001</v>
      </c>
      <c r="D47" s="5">
        <v>160</v>
      </c>
      <c r="E47" s="5">
        <v>160.9</v>
      </c>
      <c r="F47" s="5">
        <v>162.69999999999999</v>
      </c>
      <c r="G47" s="5">
        <v>162.69999999999999</v>
      </c>
      <c r="H47" s="5">
        <v>163.19999999999999</v>
      </c>
      <c r="I47" s="5">
        <v>163.69999999999999</v>
      </c>
      <c r="J47" s="5">
        <v>164.2</v>
      </c>
      <c r="K47" s="5">
        <v>164.3</v>
      </c>
      <c r="L47" s="5">
        <v>164.7</v>
      </c>
      <c r="M47" s="5">
        <v>165.3</v>
      </c>
      <c r="N47" s="5">
        <v>166.2</v>
      </c>
      <c r="O47" s="5">
        <v>167.1</v>
      </c>
      <c r="P47" s="5">
        <v>167.9</v>
      </c>
      <c r="Q47" s="5">
        <v>168.4</v>
      </c>
      <c r="R47" s="5">
        <v>168.8</v>
      </c>
      <c r="S47" s="5">
        <v>169.4</v>
      </c>
      <c r="T47" s="5">
        <v>169.9</v>
      </c>
      <c r="U47" s="5">
        <v>170.4</v>
      </c>
      <c r="V47" s="5">
        <v>171</v>
      </c>
      <c r="W47" s="5">
        <v>171.4</v>
      </c>
      <c r="X47" s="5">
        <v>172.3</v>
      </c>
      <c r="Y47" s="5">
        <v>172.3</v>
      </c>
      <c r="AJ47" s="35" t="s">
        <v>18</v>
      </c>
      <c r="AK47" s="16">
        <v>0.65523458607282237</v>
      </c>
      <c r="AL47" s="62"/>
    </row>
    <row r="48" spans="1:65" x14ac:dyDescent="0.25">
      <c r="A48" s="52" t="s">
        <v>155</v>
      </c>
      <c r="B48" s="5">
        <v>168.9</v>
      </c>
      <c r="C48" s="5">
        <v>170.4</v>
      </c>
      <c r="D48" s="5">
        <v>172.4</v>
      </c>
      <c r="E48" s="5">
        <v>172.2</v>
      </c>
      <c r="F48" s="5">
        <v>173.9</v>
      </c>
      <c r="G48" s="5">
        <v>173.9</v>
      </c>
      <c r="H48" s="5">
        <v>174.7</v>
      </c>
      <c r="I48" s="5">
        <v>175.5</v>
      </c>
      <c r="J48" s="5">
        <v>176.5</v>
      </c>
      <c r="K48" s="5">
        <v>177.3</v>
      </c>
      <c r="L48" s="5">
        <v>178</v>
      </c>
      <c r="M48" s="5">
        <v>179.3</v>
      </c>
      <c r="N48" s="5">
        <v>180.9</v>
      </c>
      <c r="O48" s="5">
        <v>182.5</v>
      </c>
      <c r="P48" s="5">
        <v>183.9</v>
      </c>
      <c r="Q48" s="5">
        <v>185.2</v>
      </c>
      <c r="R48" s="5">
        <v>186.3</v>
      </c>
      <c r="S48" s="5">
        <v>187.4</v>
      </c>
      <c r="T48" s="5">
        <v>188.3</v>
      </c>
      <c r="U48" s="5">
        <v>189.5</v>
      </c>
      <c r="V48" s="5">
        <v>190.3</v>
      </c>
      <c r="W48" s="5">
        <v>191.2</v>
      </c>
      <c r="X48" s="5">
        <v>193</v>
      </c>
      <c r="Y48" s="5">
        <v>193</v>
      </c>
      <c r="AJ48" s="35" t="s">
        <v>29</v>
      </c>
      <c r="AK48" s="16">
        <v>0.65311639716447722</v>
      </c>
      <c r="AL48" s="62"/>
    </row>
    <row r="49" spans="1:41" x14ac:dyDescent="0.25">
      <c r="A49" s="52" t="s">
        <v>156</v>
      </c>
      <c r="B49" s="5">
        <v>158</v>
      </c>
      <c r="C49" s="5">
        <v>160.69999999999999</v>
      </c>
      <c r="D49" s="5">
        <v>162.6</v>
      </c>
      <c r="E49" s="5">
        <v>164</v>
      </c>
      <c r="F49" s="5">
        <v>164</v>
      </c>
      <c r="G49" s="5">
        <v>164</v>
      </c>
      <c r="H49" s="5">
        <v>167.7</v>
      </c>
      <c r="I49" s="5">
        <v>169.7</v>
      </c>
      <c r="J49" s="5">
        <v>168.2</v>
      </c>
      <c r="K49" s="5">
        <v>166.4</v>
      </c>
      <c r="L49" s="5">
        <v>166.2</v>
      </c>
      <c r="M49" s="5">
        <v>168.4</v>
      </c>
      <c r="N49" s="5">
        <v>170.8</v>
      </c>
      <c r="O49" s="5">
        <v>173.3</v>
      </c>
      <c r="P49" s="5">
        <v>174.9</v>
      </c>
      <c r="Q49" s="5">
        <v>175</v>
      </c>
      <c r="R49" s="5">
        <v>176.3</v>
      </c>
      <c r="S49" s="5">
        <v>177.8</v>
      </c>
      <c r="T49" s="5">
        <v>179.6</v>
      </c>
      <c r="U49" s="5">
        <v>178.3</v>
      </c>
      <c r="V49" s="5">
        <v>175.9</v>
      </c>
      <c r="W49" s="5">
        <v>176.7</v>
      </c>
      <c r="X49" s="5">
        <v>177</v>
      </c>
      <c r="Y49" s="5">
        <v>177</v>
      </c>
      <c r="AJ49" s="35" t="s">
        <v>28</v>
      </c>
      <c r="AK49" s="16">
        <v>0.63708980768360279</v>
      </c>
      <c r="AL49" s="62"/>
    </row>
    <row r="50" spans="1:41" x14ac:dyDescent="0.25">
      <c r="A50" s="52" t="s">
        <v>157</v>
      </c>
      <c r="B50" s="5">
        <v>188.8</v>
      </c>
      <c r="C50" s="5">
        <v>191.9</v>
      </c>
      <c r="D50" s="5">
        <v>190.8</v>
      </c>
      <c r="E50" s="5">
        <v>191.2</v>
      </c>
      <c r="F50" s="5">
        <v>192.1</v>
      </c>
      <c r="G50" s="5">
        <v>192.1</v>
      </c>
      <c r="H50" s="5">
        <v>192.7</v>
      </c>
      <c r="I50" s="5">
        <v>192.9</v>
      </c>
      <c r="J50" s="5">
        <v>192.4</v>
      </c>
      <c r="K50" s="5">
        <v>192.2</v>
      </c>
      <c r="L50" s="5">
        <v>192.8</v>
      </c>
      <c r="M50" s="5">
        <v>193.7</v>
      </c>
      <c r="N50" s="5">
        <v>193.9</v>
      </c>
      <c r="O50" s="5">
        <v>194.1</v>
      </c>
      <c r="P50" s="5">
        <v>194.3</v>
      </c>
      <c r="Q50" s="5">
        <v>194.6</v>
      </c>
      <c r="R50" s="5">
        <v>195</v>
      </c>
      <c r="S50" s="5">
        <v>195.9</v>
      </c>
      <c r="T50" s="5">
        <v>196.3</v>
      </c>
      <c r="U50" s="5">
        <v>196.9</v>
      </c>
      <c r="V50" s="5">
        <v>197.3</v>
      </c>
      <c r="W50" s="5">
        <v>198.2</v>
      </c>
      <c r="X50" s="5">
        <v>199.5</v>
      </c>
      <c r="Y50" s="5">
        <v>199.5</v>
      </c>
      <c r="AJ50" s="35" t="s">
        <v>19</v>
      </c>
      <c r="AK50" s="16">
        <v>0.62914069487150548</v>
      </c>
      <c r="AL50" s="62"/>
    </row>
    <row r="51" spans="1:41" x14ac:dyDescent="0.25">
      <c r="A51" s="52" t="s">
        <v>158</v>
      </c>
      <c r="B51" s="5">
        <v>158.80000000000001</v>
      </c>
      <c r="C51" s="5">
        <v>161.80000000000001</v>
      </c>
      <c r="D51" s="5">
        <v>162.19999999999999</v>
      </c>
      <c r="E51" s="5">
        <v>162.80000000000001</v>
      </c>
      <c r="F51" s="5">
        <v>164.5</v>
      </c>
      <c r="G51" s="5">
        <v>164.6</v>
      </c>
      <c r="H51" s="5">
        <v>165.7</v>
      </c>
      <c r="I51" s="5">
        <v>167.2</v>
      </c>
      <c r="J51" s="5">
        <v>168.5</v>
      </c>
      <c r="K51" s="5">
        <v>169.9</v>
      </c>
      <c r="L51" s="5">
        <v>170.8</v>
      </c>
      <c r="M51" s="5">
        <v>172.1</v>
      </c>
      <c r="N51" s="5">
        <v>173.9</v>
      </c>
      <c r="O51" s="5">
        <v>175.6</v>
      </c>
      <c r="P51" s="5">
        <v>177.1</v>
      </c>
      <c r="Q51" s="5">
        <v>178.3</v>
      </c>
      <c r="R51" s="5">
        <v>179.5</v>
      </c>
      <c r="S51" s="5">
        <v>180.9</v>
      </c>
      <c r="T51" s="5">
        <v>181.9</v>
      </c>
      <c r="U51" s="5">
        <v>183.1</v>
      </c>
      <c r="V51" s="5">
        <v>184</v>
      </c>
      <c r="W51" s="5">
        <v>184.9</v>
      </c>
      <c r="X51" s="5">
        <v>186.2</v>
      </c>
      <c r="Y51" s="5">
        <v>186.1</v>
      </c>
      <c r="AJ51" s="35" t="s">
        <v>17</v>
      </c>
      <c r="AK51" s="16">
        <v>0.62398831168466473</v>
      </c>
      <c r="AL51" s="62"/>
    </row>
    <row r="52" spans="1:41" x14ac:dyDescent="0.25">
      <c r="A52" s="52" t="s">
        <v>159</v>
      </c>
      <c r="B52" s="5">
        <v>148.5</v>
      </c>
      <c r="C52" s="5">
        <v>152.1</v>
      </c>
      <c r="D52" s="5">
        <v>151.80000000000001</v>
      </c>
      <c r="E52" s="5">
        <v>153.1</v>
      </c>
      <c r="F52" s="5">
        <v>155.30000000000001</v>
      </c>
      <c r="G52" s="5">
        <v>155.30000000000001</v>
      </c>
      <c r="H52" s="5">
        <v>156.30000000000001</v>
      </c>
      <c r="I52" s="5">
        <v>157.4</v>
      </c>
      <c r="J52" s="5">
        <v>158.69999999999999</v>
      </c>
      <c r="K52" s="5">
        <v>160.69999999999999</v>
      </c>
      <c r="L52" s="5">
        <v>162.4</v>
      </c>
      <c r="M52" s="5">
        <v>164.6</v>
      </c>
      <c r="N52" s="5">
        <v>166.5</v>
      </c>
      <c r="O52" s="5">
        <v>168.4</v>
      </c>
      <c r="P52" s="5">
        <v>169.9</v>
      </c>
      <c r="Q52" s="5">
        <v>171.3</v>
      </c>
      <c r="R52" s="5">
        <v>172.7</v>
      </c>
      <c r="S52" s="5">
        <v>174.3</v>
      </c>
      <c r="T52" s="5">
        <v>175.3</v>
      </c>
      <c r="U52" s="5">
        <v>176.2</v>
      </c>
      <c r="V52" s="5">
        <v>177</v>
      </c>
      <c r="W52" s="5">
        <v>177.6</v>
      </c>
      <c r="X52" s="5">
        <v>178.7</v>
      </c>
      <c r="Y52" s="5">
        <v>178.7</v>
      </c>
      <c r="AJ52" s="35" t="s">
        <v>22</v>
      </c>
      <c r="AK52" s="16">
        <v>0.62373880903143508</v>
      </c>
      <c r="AL52" s="62"/>
      <c r="AM52" s="63"/>
      <c r="AN52" s="63"/>
      <c r="AO52" s="63"/>
    </row>
    <row r="53" spans="1:41" x14ac:dyDescent="0.25">
      <c r="A53" s="52" t="s">
        <v>160</v>
      </c>
      <c r="B53" s="5">
        <v>157.30000000000001</v>
      </c>
      <c r="C53" s="5">
        <v>160.4</v>
      </c>
      <c r="D53" s="5">
        <v>160.69999999999999</v>
      </c>
      <c r="E53" s="5">
        <v>161.4</v>
      </c>
      <c r="F53" s="5">
        <v>163.19999999999999</v>
      </c>
      <c r="G53" s="5">
        <v>163.30000000000001</v>
      </c>
      <c r="H53" s="5">
        <v>164.3</v>
      </c>
      <c r="I53" s="5">
        <v>165.8</v>
      </c>
      <c r="J53" s="5">
        <v>167</v>
      </c>
      <c r="K53" s="5">
        <v>168.5</v>
      </c>
      <c r="L53" s="5">
        <v>169.6</v>
      </c>
      <c r="M53" s="5">
        <v>171.1</v>
      </c>
      <c r="N53" s="5">
        <v>172.8</v>
      </c>
      <c r="O53" s="5">
        <v>174.6</v>
      </c>
      <c r="P53" s="5">
        <v>176</v>
      </c>
      <c r="Q53" s="5">
        <v>177.3</v>
      </c>
      <c r="R53" s="5">
        <v>178.5</v>
      </c>
      <c r="S53" s="5">
        <v>179.9</v>
      </c>
      <c r="T53" s="5">
        <v>181</v>
      </c>
      <c r="U53" s="5">
        <v>182.1</v>
      </c>
      <c r="V53" s="5">
        <v>183</v>
      </c>
      <c r="W53" s="5">
        <v>183.8</v>
      </c>
      <c r="X53" s="5">
        <v>185.1</v>
      </c>
      <c r="Y53" s="5">
        <v>185.1</v>
      </c>
      <c r="AJ53" s="35" t="s">
        <v>13</v>
      </c>
      <c r="AK53" s="16">
        <v>0.62035225220314205</v>
      </c>
      <c r="AL53" s="62"/>
      <c r="AM53" s="63"/>
      <c r="AN53" s="63"/>
      <c r="AO53" s="63"/>
    </row>
    <row r="54" spans="1:41" x14ac:dyDescent="0.25">
      <c r="A54" s="52" t="s">
        <v>161</v>
      </c>
      <c r="B54" s="5">
        <v>161.4</v>
      </c>
      <c r="C54" s="5">
        <v>161.6</v>
      </c>
      <c r="D54" s="5">
        <v>160.5</v>
      </c>
      <c r="E54" s="5">
        <v>161.5</v>
      </c>
      <c r="F54" s="5">
        <v>162.1</v>
      </c>
      <c r="G54" s="5">
        <v>162.1</v>
      </c>
      <c r="H54" s="5">
        <v>163.6</v>
      </c>
      <c r="I54" s="5">
        <v>164.2</v>
      </c>
      <c r="J54" s="5">
        <v>163.4</v>
      </c>
      <c r="K54" s="5">
        <v>164.5</v>
      </c>
      <c r="L54" s="5">
        <v>165.5</v>
      </c>
      <c r="M54" s="5">
        <v>165.3</v>
      </c>
      <c r="N54" s="5">
        <v>167</v>
      </c>
      <c r="O54" s="5">
        <v>167.5</v>
      </c>
      <c r="P54" s="5">
        <v>166.8</v>
      </c>
      <c r="Q54" s="5">
        <v>167.8</v>
      </c>
      <c r="R54" s="5">
        <v>169</v>
      </c>
      <c r="S54" s="5">
        <v>169.5</v>
      </c>
      <c r="T54" s="5">
        <v>171.2</v>
      </c>
      <c r="U54" s="5">
        <v>171.8</v>
      </c>
      <c r="V54" s="5">
        <v>170.7</v>
      </c>
      <c r="W54" s="5">
        <v>172.1</v>
      </c>
      <c r="X54" s="5">
        <v>173.5</v>
      </c>
      <c r="Y54" s="5">
        <v>173.5</v>
      </c>
      <c r="AJ54" s="35" t="s">
        <v>14</v>
      </c>
      <c r="AK54" s="16">
        <v>0.58818532547485636</v>
      </c>
      <c r="AL54" s="62"/>
      <c r="AM54" s="63"/>
      <c r="AN54" s="63"/>
      <c r="AO54" s="63"/>
    </row>
    <row r="55" spans="1:41" x14ac:dyDescent="0.25">
      <c r="A55" s="52" t="s">
        <v>162</v>
      </c>
      <c r="B55" s="5">
        <v>155.6</v>
      </c>
      <c r="C55" s="5">
        <v>159.4</v>
      </c>
      <c r="D55" s="5">
        <v>159.80000000000001</v>
      </c>
      <c r="E55" s="5">
        <v>160.69999999999999</v>
      </c>
      <c r="F55" s="5">
        <v>162.6</v>
      </c>
      <c r="G55" s="5">
        <v>162.6</v>
      </c>
      <c r="H55" s="5">
        <v>164.2</v>
      </c>
      <c r="I55" s="5">
        <v>163.9</v>
      </c>
      <c r="J55" s="5">
        <v>164.1</v>
      </c>
      <c r="K55" s="5">
        <v>164.2</v>
      </c>
      <c r="L55" s="5">
        <v>165.7</v>
      </c>
      <c r="M55" s="5">
        <v>167.2</v>
      </c>
      <c r="N55" s="5">
        <v>172.2</v>
      </c>
      <c r="O55" s="5">
        <v>174.6</v>
      </c>
      <c r="P55" s="5">
        <v>176</v>
      </c>
      <c r="Q55" s="5">
        <v>179.6</v>
      </c>
      <c r="R55" s="5">
        <v>178.8</v>
      </c>
      <c r="S55" s="5">
        <v>179.5</v>
      </c>
      <c r="T55" s="5">
        <v>180.5</v>
      </c>
      <c r="U55" s="5">
        <v>181.3</v>
      </c>
      <c r="V55" s="5">
        <v>182</v>
      </c>
      <c r="W55" s="5">
        <v>182</v>
      </c>
      <c r="X55" s="5">
        <v>182.1</v>
      </c>
      <c r="Y55" s="5">
        <v>181.9</v>
      </c>
      <c r="AJ55" s="35" t="s">
        <v>23</v>
      </c>
      <c r="AK55" s="16">
        <v>0.56022482588733835</v>
      </c>
      <c r="AL55" s="62"/>
      <c r="AM55" s="63"/>
      <c r="AN55" s="63"/>
      <c r="AO55" s="63"/>
    </row>
    <row r="56" spans="1:41" x14ac:dyDescent="0.25">
      <c r="A56" s="52" t="s">
        <v>163</v>
      </c>
      <c r="B56" s="5">
        <v>468.8</v>
      </c>
      <c r="C56" s="5">
        <v>475.7</v>
      </c>
      <c r="D56" s="5">
        <v>475.1</v>
      </c>
      <c r="E56" s="5">
        <v>478</v>
      </c>
      <c r="F56" s="5">
        <v>482.2</v>
      </c>
      <c r="G56" s="5">
        <v>482.2</v>
      </c>
      <c r="H56" s="5">
        <v>486.19999999999993</v>
      </c>
      <c r="I56" s="5">
        <v>487.40000000000003</v>
      </c>
      <c r="J56" s="5">
        <v>487.7</v>
      </c>
      <c r="K56" s="5">
        <v>489.79999999999995</v>
      </c>
      <c r="L56" s="5">
        <v>493</v>
      </c>
      <c r="M56" s="5">
        <v>495.3</v>
      </c>
      <c r="N56" s="5">
        <v>503.2</v>
      </c>
      <c r="O56" s="5">
        <v>507.3</v>
      </c>
      <c r="P56" s="5">
        <v>509.20000000000005</v>
      </c>
      <c r="Q56" s="5">
        <v>514.79999999999995</v>
      </c>
      <c r="R56" s="5">
        <v>516.29999999999995</v>
      </c>
      <c r="S56" s="5">
        <v>518.5</v>
      </c>
      <c r="T56" s="5">
        <v>522.1</v>
      </c>
      <c r="U56" s="5">
        <v>524.5</v>
      </c>
      <c r="V56" s="5">
        <v>524.79999999999995</v>
      </c>
      <c r="W56" s="5">
        <v>527</v>
      </c>
      <c r="X56" s="5">
        <v>529.79999999999995</v>
      </c>
      <c r="Y56" s="5">
        <v>529.59999999999991</v>
      </c>
      <c r="AJ56" s="35" t="s">
        <v>20</v>
      </c>
      <c r="AK56" s="16">
        <v>0.55347777509285989</v>
      </c>
      <c r="AL56" s="62"/>
      <c r="AM56" s="63"/>
      <c r="AN56" s="63"/>
      <c r="AO56" s="63"/>
    </row>
    <row r="57" spans="1:41" x14ac:dyDescent="0.25">
      <c r="A57" s="52" t="s">
        <v>164</v>
      </c>
      <c r="B57" s="5">
        <v>162.30000000000001</v>
      </c>
      <c r="C57" s="5">
        <v>165.8</v>
      </c>
      <c r="D57" s="5">
        <v>166.3</v>
      </c>
      <c r="E57" s="5">
        <v>167</v>
      </c>
      <c r="F57" s="5">
        <v>168.4</v>
      </c>
      <c r="G57" s="5">
        <v>168.4</v>
      </c>
      <c r="H57" s="5">
        <v>169.1</v>
      </c>
      <c r="I57" s="5">
        <v>169.9</v>
      </c>
      <c r="J57" s="5">
        <v>170.6</v>
      </c>
      <c r="K57" s="5">
        <v>171.4</v>
      </c>
      <c r="L57" s="5">
        <v>172.2</v>
      </c>
      <c r="M57" s="5">
        <v>173</v>
      </c>
      <c r="N57" s="5">
        <v>174</v>
      </c>
      <c r="O57" s="5">
        <v>174.8</v>
      </c>
      <c r="P57" s="5">
        <v>175.4</v>
      </c>
      <c r="Q57" s="5">
        <v>176.1</v>
      </c>
      <c r="R57" s="5">
        <v>176.8</v>
      </c>
      <c r="S57" s="5">
        <v>177.8</v>
      </c>
      <c r="T57" s="5">
        <v>178.7</v>
      </c>
      <c r="U57" s="5">
        <v>179.8</v>
      </c>
      <c r="V57" s="5">
        <v>181.1</v>
      </c>
      <c r="W57" s="5">
        <v>182.3</v>
      </c>
      <c r="X57" s="5">
        <v>184.4</v>
      </c>
      <c r="Y57" s="5">
        <v>184.4</v>
      </c>
      <c r="AJ57" s="35" t="s">
        <v>27</v>
      </c>
      <c r="AK57" s="16">
        <v>0.55335719637124781</v>
      </c>
      <c r="AL57" s="62"/>
      <c r="AM57" s="63"/>
      <c r="AN57" s="63"/>
      <c r="AO57" s="63"/>
    </row>
    <row r="58" spans="1:41" x14ac:dyDescent="0.25">
      <c r="A58" s="52" t="s">
        <v>165</v>
      </c>
      <c r="B58" s="5">
        <v>146.6</v>
      </c>
      <c r="C58" s="5">
        <v>148.9</v>
      </c>
      <c r="D58" s="5">
        <v>150.69999999999999</v>
      </c>
      <c r="E58" s="5">
        <v>153.1</v>
      </c>
      <c r="F58" s="5">
        <v>154</v>
      </c>
      <c r="G58" s="5">
        <v>154</v>
      </c>
      <c r="H58" s="5">
        <v>155.69999999999999</v>
      </c>
      <c r="I58" s="5">
        <v>154.80000000000001</v>
      </c>
      <c r="J58" s="5">
        <v>155.69999999999999</v>
      </c>
      <c r="K58" s="5">
        <v>156.5</v>
      </c>
      <c r="L58" s="5">
        <v>156.9</v>
      </c>
      <c r="M58" s="5">
        <v>157.9</v>
      </c>
      <c r="N58" s="5">
        <v>162.6</v>
      </c>
      <c r="O58" s="5">
        <v>163</v>
      </c>
      <c r="P58" s="5">
        <v>161.1</v>
      </c>
      <c r="Q58" s="5">
        <v>161.6</v>
      </c>
      <c r="R58" s="5">
        <v>161.9</v>
      </c>
      <c r="S58" s="5">
        <v>162.30000000000001</v>
      </c>
      <c r="T58" s="5">
        <v>162.9</v>
      </c>
      <c r="U58" s="5">
        <v>163</v>
      </c>
      <c r="V58" s="5">
        <v>163.4</v>
      </c>
      <c r="W58" s="5">
        <v>163.6</v>
      </c>
      <c r="X58" s="5">
        <v>164.2</v>
      </c>
      <c r="Y58" s="5">
        <v>164.2</v>
      </c>
      <c r="AJ58" s="35" t="s">
        <v>26</v>
      </c>
      <c r="AK58" s="16">
        <v>0.5519808318430971</v>
      </c>
      <c r="AL58" s="62"/>
      <c r="AM58" s="63"/>
      <c r="AN58" s="63"/>
      <c r="AO58" s="63"/>
    </row>
    <row r="59" spans="1:41" x14ac:dyDescent="0.25">
      <c r="A59" s="52" t="s">
        <v>166</v>
      </c>
      <c r="B59" s="5">
        <v>153.19999999999999</v>
      </c>
      <c r="C59" s="5">
        <v>155.80000000000001</v>
      </c>
      <c r="D59" s="5">
        <v>154.9</v>
      </c>
      <c r="E59" s="5">
        <v>155.30000000000001</v>
      </c>
      <c r="F59" s="5">
        <v>157.6</v>
      </c>
      <c r="G59" s="5">
        <v>157.69999999999999</v>
      </c>
      <c r="H59" s="5">
        <v>158.6</v>
      </c>
      <c r="I59" s="5">
        <v>159.80000000000001</v>
      </c>
      <c r="J59" s="5">
        <v>160.6</v>
      </c>
      <c r="K59" s="5">
        <v>161.19999999999999</v>
      </c>
      <c r="L59" s="5">
        <v>162.1</v>
      </c>
      <c r="M59" s="5">
        <v>163.30000000000001</v>
      </c>
      <c r="N59" s="5">
        <v>164.4</v>
      </c>
      <c r="O59" s="5">
        <v>165.1</v>
      </c>
      <c r="P59" s="5">
        <v>165.8</v>
      </c>
      <c r="Q59" s="5">
        <v>166.3</v>
      </c>
      <c r="R59" s="5">
        <v>166.9</v>
      </c>
      <c r="S59" s="5">
        <v>167.6</v>
      </c>
      <c r="T59" s="5">
        <v>168.2</v>
      </c>
      <c r="U59" s="5">
        <v>168.5</v>
      </c>
      <c r="V59" s="5">
        <v>168.9</v>
      </c>
      <c r="W59" s="5">
        <v>169.5</v>
      </c>
      <c r="X59" s="5">
        <v>170.3</v>
      </c>
      <c r="Y59" s="5">
        <v>170.3</v>
      </c>
      <c r="AJ59" s="35" t="s">
        <v>6</v>
      </c>
      <c r="AK59" s="16">
        <v>0.49262018728084284</v>
      </c>
      <c r="AL59" s="62"/>
      <c r="AM59" s="63"/>
      <c r="AN59" s="63"/>
      <c r="AO59" s="63"/>
    </row>
    <row r="60" spans="1:41" x14ac:dyDescent="0.25">
      <c r="A60" s="52" t="s">
        <v>167</v>
      </c>
      <c r="B60" s="5">
        <v>160.30000000000001</v>
      </c>
      <c r="C60" s="5">
        <v>161.19999999999999</v>
      </c>
      <c r="D60" s="5">
        <v>161.69999999999999</v>
      </c>
      <c r="E60" s="5">
        <v>163.19999999999999</v>
      </c>
      <c r="F60" s="5">
        <v>163.80000000000001</v>
      </c>
      <c r="G60" s="5">
        <v>163.69999999999999</v>
      </c>
      <c r="H60" s="5">
        <v>163.9</v>
      </c>
      <c r="I60" s="5">
        <v>164.3</v>
      </c>
      <c r="J60" s="5">
        <v>164.4</v>
      </c>
      <c r="K60" s="5">
        <v>164.7</v>
      </c>
      <c r="L60" s="5">
        <v>165.4</v>
      </c>
      <c r="M60" s="5">
        <v>166</v>
      </c>
      <c r="N60" s="5">
        <v>166.9</v>
      </c>
      <c r="O60" s="5">
        <v>167.9</v>
      </c>
      <c r="P60" s="5">
        <v>169</v>
      </c>
      <c r="Q60" s="5">
        <v>171.4</v>
      </c>
      <c r="R60" s="5">
        <v>172.3</v>
      </c>
      <c r="S60" s="5">
        <v>173.1</v>
      </c>
      <c r="T60" s="5">
        <v>173.4</v>
      </c>
      <c r="U60" s="5">
        <v>173.7</v>
      </c>
      <c r="V60" s="5">
        <v>174.1</v>
      </c>
      <c r="W60" s="5">
        <v>174.3</v>
      </c>
      <c r="X60" s="5">
        <v>175</v>
      </c>
      <c r="Y60" s="5">
        <v>175</v>
      </c>
      <c r="AJ60" s="35" t="s">
        <v>12</v>
      </c>
      <c r="AK60" s="16">
        <v>0.49085655366575026</v>
      </c>
      <c r="AL60" s="62"/>
      <c r="AM60" s="63"/>
      <c r="AN60" s="63"/>
      <c r="AO60" s="63"/>
    </row>
    <row r="61" spans="1:41" x14ac:dyDescent="0.25">
      <c r="A61" s="52" t="s">
        <v>168</v>
      </c>
      <c r="B61" s="5">
        <v>155.4</v>
      </c>
      <c r="C61" s="5">
        <v>158.6</v>
      </c>
      <c r="D61" s="5">
        <v>158.80000000000001</v>
      </c>
      <c r="E61" s="5">
        <v>160.1</v>
      </c>
      <c r="F61" s="5">
        <v>160</v>
      </c>
      <c r="G61" s="5">
        <v>160</v>
      </c>
      <c r="H61" s="5">
        <v>160.80000000000001</v>
      </c>
      <c r="I61" s="5">
        <v>162.19999999999999</v>
      </c>
      <c r="J61" s="5">
        <v>162.6</v>
      </c>
      <c r="K61" s="5">
        <v>163</v>
      </c>
      <c r="L61" s="5">
        <v>164.4</v>
      </c>
      <c r="M61" s="5">
        <v>167.2</v>
      </c>
      <c r="N61" s="5">
        <v>168.8</v>
      </c>
      <c r="O61" s="5">
        <v>168.4</v>
      </c>
      <c r="P61" s="5">
        <v>169.4</v>
      </c>
      <c r="Q61" s="5">
        <v>169.7</v>
      </c>
      <c r="R61" s="5">
        <v>171.2</v>
      </c>
      <c r="S61" s="5">
        <v>170.9</v>
      </c>
      <c r="T61" s="5">
        <v>172.1</v>
      </c>
      <c r="U61" s="5">
        <v>173.6</v>
      </c>
      <c r="V61" s="5">
        <v>175.8</v>
      </c>
      <c r="W61" s="5">
        <v>178.6</v>
      </c>
      <c r="X61" s="5">
        <v>181</v>
      </c>
      <c r="Y61" s="5">
        <v>181</v>
      </c>
      <c r="AJ61" s="35" t="s">
        <v>8</v>
      </c>
      <c r="AK61" s="16">
        <v>0.4735809527112626</v>
      </c>
      <c r="AL61" s="62"/>
      <c r="AM61" s="63"/>
      <c r="AN61" s="63"/>
      <c r="AO61" s="63"/>
    </row>
    <row r="62" spans="1:41" x14ac:dyDescent="0.25">
      <c r="A62" s="52" t="s">
        <v>169</v>
      </c>
      <c r="B62" s="5">
        <v>154.4</v>
      </c>
      <c r="C62" s="5">
        <v>156.80000000000001</v>
      </c>
      <c r="D62" s="5">
        <v>157.6</v>
      </c>
      <c r="E62" s="5">
        <v>159</v>
      </c>
      <c r="F62" s="5">
        <v>160</v>
      </c>
      <c r="G62" s="5">
        <v>160</v>
      </c>
      <c r="H62" s="5">
        <v>161</v>
      </c>
      <c r="I62" s="5">
        <v>161.4</v>
      </c>
      <c r="J62" s="5">
        <v>162</v>
      </c>
      <c r="K62" s="5">
        <v>162.69999999999999</v>
      </c>
      <c r="L62" s="5">
        <v>163.5</v>
      </c>
      <c r="M62" s="5">
        <v>164.6</v>
      </c>
      <c r="N62" s="5">
        <v>166.8</v>
      </c>
      <c r="O62" s="5">
        <v>167.5</v>
      </c>
      <c r="P62" s="5">
        <v>167.5</v>
      </c>
      <c r="Q62" s="5">
        <v>168.4</v>
      </c>
      <c r="R62" s="5">
        <v>169.1</v>
      </c>
      <c r="S62" s="5">
        <v>169.7</v>
      </c>
      <c r="T62" s="5">
        <v>170.5</v>
      </c>
      <c r="U62" s="5">
        <v>171.1</v>
      </c>
      <c r="V62" s="5">
        <v>172</v>
      </c>
      <c r="W62" s="5">
        <v>172.8</v>
      </c>
      <c r="X62" s="5">
        <v>174.1</v>
      </c>
      <c r="Y62" s="5">
        <v>174.1</v>
      </c>
      <c r="AJ62" s="35" t="s">
        <v>11</v>
      </c>
      <c r="AK62" s="16">
        <v>0.4572532765842115</v>
      </c>
      <c r="AL62" s="62"/>
      <c r="AM62" s="63"/>
      <c r="AN62" s="63"/>
      <c r="AO62" s="63"/>
    </row>
    <row r="63" spans="1:41" x14ac:dyDescent="0.25">
      <c r="A63" s="52" t="s">
        <v>129</v>
      </c>
      <c r="B63" s="5">
        <v>157.80000000000001</v>
      </c>
      <c r="C63" s="5">
        <v>160.4</v>
      </c>
      <c r="D63" s="5">
        <v>161.30000000000001</v>
      </c>
      <c r="E63" s="5">
        <v>162.5</v>
      </c>
      <c r="F63" s="5">
        <v>163.19999999999999</v>
      </c>
      <c r="G63" s="5">
        <v>163.19999999999999</v>
      </c>
      <c r="H63" s="5">
        <v>165.5</v>
      </c>
      <c r="I63" s="5">
        <v>166.7</v>
      </c>
      <c r="J63" s="5">
        <v>166.2</v>
      </c>
      <c r="K63" s="5">
        <v>165.7</v>
      </c>
      <c r="L63" s="5">
        <v>166.1</v>
      </c>
      <c r="M63" s="5">
        <v>167.7</v>
      </c>
      <c r="N63" s="5">
        <v>170.1</v>
      </c>
      <c r="O63" s="5">
        <v>171.7</v>
      </c>
      <c r="P63" s="5">
        <v>172.6</v>
      </c>
      <c r="Q63" s="5">
        <v>173.4</v>
      </c>
      <c r="R63" s="5">
        <v>174.3</v>
      </c>
      <c r="S63" s="5">
        <v>175.3</v>
      </c>
      <c r="T63" s="5">
        <v>176.7</v>
      </c>
      <c r="U63" s="5">
        <v>176.5</v>
      </c>
      <c r="V63" s="5">
        <v>175.7</v>
      </c>
      <c r="W63" s="5">
        <v>176.5</v>
      </c>
      <c r="X63" s="5">
        <v>177.2</v>
      </c>
      <c r="Y63" s="5">
        <v>177.2</v>
      </c>
      <c r="AJ63" s="35" t="s">
        <v>16</v>
      </c>
      <c r="AK63" s="16">
        <v>0.45158949005075633</v>
      </c>
      <c r="AL63" s="62"/>
      <c r="AM63" s="63"/>
      <c r="AN63" s="63"/>
      <c r="AO63" s="63"/>
    </row>
    <row r="64" spans="1:41" x14ac:dyDescent="0.25">
      <c r="AJ64" s="35" t="s">
        <v>3</v>
      </c>
      <c r="AK64" s="16">
        <v>0.38366095069419615</v>
      </c>
      <c r="AL64" s="62"/>
      <c r="AM64" s="63"/>
      <c r="AN64" s="63"/>
      <c r="AO64" s="63"/>
    </row>
    <row r="65" spans="23:62" x14ac:dyDescent="0.25">
      <c r="AJ65" s="35" t="s">
        <v>9</v>
      </c>
      <c r="AK65" s="16">
        <v>0.37988604533081849</v>
      </c>
      <c r="AL65" s="62"/>
      <c r="AM65" s="63"/>
      <c r="AN65" s="63"/>
      <c r="AO65" s="63"/>
    </row>
    <row r="66" spans="23:62" x14ac:dyDescent="0.25">
      <c r="AJ66" s="35" t="s">
        <v>10</v>
      </c>
      <c r="AK66" s="16">
        <v>0.12989672987286868</v>
      </c>
      <c r="AL66" s="61"/>
      <c r="AM66" s="63"/>
      <c r="AN66" s="63"/>
      <c r="AO66" s="63"/>
    </row>
    <row r="67" spans="23:62" x14ac:dyDescent="0.25">
      <c r="AJ67" s="35" t="s">
        <v>5</v>
      </c>
      <c r="AK67" s="16">
        <v>-0.22999209803516488</v>
      </c>
      <c r="AL67" s="61"/>
      <c r="AM67" s="63"/>
      <c r="AN67" s="63"/>
      <c r="AO67" s="63"/>
    </row>
    <row r="71" spans="23:62" ht="14.45" customHeight="1" x14ac:dyDescent="0.25">
      <c r="W71" s="153" t="s">
        <v>238</v>
      </c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</row>
    <row r="72" spans="23:62" x14ac:dyDescent="0.25">
      <c r="W72" s="153"/>
      <c r="X72" s="153"/>
      <c r="Y72" s="153"/>
      <c r="Z72" s="153"/>
      <c r="AA72" s="153"/>
      <c r="AB72" s="153"/>
      <c r="AC72" s="153"/>
      <c r="AD72" s="153"/>
      <c r="AE72" s="153"/>
      <c r="AF72" s="153"/>
      <c r="AG72" s="153"/>
      <c r="AH72" s="153"/>
      <c r="AI72" s="153"/>
      <c r="AJ72" s="153"/>
      <c r="AK72" s="153"/>
    </row>
    <row r="73" spans="23:62" x14ac:dyDescent="0.25">
      <c r="W73" s="153"/>
      <c r="X73" s="153"/>
      <c r="Y73" s="153"/>
      <c r="Z73" s="153"/>
      <c r="AA73" s="153"/>
      <c r="AB73" s="153"/>
      <c r="AC73" s="153"/>
      <c r="AD73" s="153"/>
      <c r="AE73" s="153"/>
      <c r="AF73" s="153"/>
      <c r="AG73" s="153"/>
      <c r="AH73" s="153"/>
      <c r="AI73" s="153"/>
      <c r="AJ73" s="153"/>
      <c r="AK73" s="153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</row>
    <row r="74" spans="23:62" x14ac:dyDescent="0.25">
      <c r="W74" s="153"/>
      <c r="X74" s="153"/>
      <c r="Y74" s="153"/>
      <c r="Z74" s="153"/>
      <c r="AA74" s="153"/>
      <c r="AB74" s="153"/>
      <c r="AC74" s="153"/>
      <c r="AD74" s="153"/>
      <c r="AE74" s="153"/>
      <c r="AF74" s="153"/>
      <c r="AG74" s="153"/>
      <c r="AH74" s="153"/>
      <c r="AI74" s="153"/>
      <c r="AJ74" s="153"/>
      <c r="AK74" s="153"/>
    </row>
    <row r="75" spans="23:62" ht="15.75" x14ac:dyDescent="0.25">
      <c r="W75" s="107"/>
      <c r="X75" s="107"/>
      <c r="Y75" s="107"/>
      <c r="Z75" s="107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23:62" ht="14.45" customHeight="1" x14ac:dyDescent="0.25">
      <c r="W76" s="154" t="s">
        <v>239</v>
      </c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4"/>
      <c r="AJ76" s="154"/>
      <c r="AK76" s="154"/>
    </row>
    <row r="77" spans="23:62" x14ac:dyDescent="0.25"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</row>
    <row r="78" spans="23:62" x14ac:dyDescent="0.25"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4"/>
      <c r="AJ78" s="154"/>
      <c r="AK78" s="154"/>
    </row>
    <row r="79" spans="23:62" ht="15.75" x14ac:dyDescent="0.25">
      <c r="W79" s="107"/>
      <c r="X79" s="107"/>
      <c r="Y79" s="107"/>
      <c r="Z79" s="107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23:62" ht="14.45" customHeight="1" x14ac:dyDescent="0.25">
      <c r="W80" s="145" t="s">
        <v>240</v>
      </c>
      <c r="X80" s="145"/>
      <c r="Y80" s="145"/>
      <c r="Z80" s="145"/>
      <c r="AA80" s="145"/>
      <c r="AB80" s="145"/>
      <c r="AC80" s="145"/>
      <c r="AD80" s="145"/>
      <c r="AE80" s="145"/>
      <c r="AF80" s="145"/>
      <c r="AG80" s="145"/>
      <c r="AH80" s="145"/>
      <c r="AI80" s="145"/>
      <c r="AJ80" s="145"/>
      <c r="AK80" s="145"/>
    </row>
    <row r="81" spans="23:41" x14ac:dyDescent="0.25"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</row>
    <row r="82" spans="23:41" x14ac:dyDescent="0.25">
      <c r="W82" s="145"/>
      <c r="X82" s="145"/>
      <c r="Y82" s="145"/>
      <c r="Z82" s="145"/>
      <c r="AA82" s="145"/>
      <c r="AB82" s="145"/>
      <c r="AC82" s="145"/>
      <c r="AD82" s="145"/>
      <c r="AE82" s="145"/>
      <c r="AF82" s="145"/>
      <c r="AG82" s="145"/>
      <c r="AH82" s="145"/>
      <c r="AI82" s="145"/>
      <c r="AJ82" s="145"/>
      <c r="AK82" s="145"/>
    </row>
    <row r="83" spans="23:41" x14ac:dyDescent="0.25">
      <c r="W83" s="145"/>
      <c r="X83" s="145"/>
      <c r="Y83" s="145"/>
      <c r="Z83" s="145"/>
      <c r="AA83" s="145"/>
      <c r="AB83" s="145"/>
      <c r="AC83" s="145"/>
      <c r="AD83" s="145"/>
      <c r="AE83" s="145"/>
      <c r="AF83" s="145"/>
      <c r="AG83" s="145"/>
      <c r="AH83" s="145"/>
      <c r="AI83" s="145"/>
      <c r="AJ83" s="145"/>
      <c r="AK83" s="145"/>
    </row>
    <row r="86" spans="23:41" x14ac:dyDescent="0.25">
      <c r="AM86" s="63"/>
      <c r="AN86" s="63"/>
      <c r="AO86" s="63"/>
    </row>
    <row r="87" spans="23:41" x14ac:dyDescent="0.25">
      <c r="AM87" s="63"/>
      <c r="AN87" s="63"/>
      <c r="AO87" s="63"/>
    </row>
  </sheetData>
  <sortState ref="AJ41:AK67">
    <sortCondition descending="1" ref="AK41:AK67"/>
  </sortState>
  <mergeCells count="8">
    <mergeCell ref="W80:AK83"/>
    <mergeCell ref="B1:N1"/>
    <mergeCell ref="AI4:AK5"/>
    <mergeCell ref="AM4:AP5"/>
    <mergeCell ref="C3:I3"/>
    <mergeCell ref="AI39:AL39"/>
    <mergeCell ref="W71:AK74"/>
    <mergeCell ref="W76:AK78"/>
  </mergeCells>
  <conditionalFormatting sqref="AK41:AK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7:AO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:AP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showGridLines="0" tabSelected="1" topLeftCell="A30" zoomScale="60" zoomScaleNormal="95" workbookViewId="0">
      <selection activeCell="AG7" sqref="AG7"/>
    </sheetView>
  </sheetViews>
  <sheetFormatPr defaultRowHeight="15" x14ac:dyDescent="0.25"/>
  <sheetData>
    <row r="1" spans="1:29" x14ac:dyDescent="0.25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</row>
    <row r="2" spans="1:29" x14ac:dyDescent="0.25">
      <c r="A2" s="92"/>
      <c r="B2" s="92"/>
      <c r="C2" s="92"/>
      <c r="D2" s="92"/>
      <c r="E2" s="93"/>
      <c r="F2" s="93"/>
      <c r="G2" s="93"/>
      <c r="H2" s="93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</row>
    <row r="3" spans="1:29" x14ac:dyDescent="0.25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</row>
    <row r="4" spans="1:29" x14ac:dyDescent="0.25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</row>
    <row r="5" spans="1:29" x14ac:dyDescent="0.25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</row>
    <row r="6" spans="1:29" x14ac:dyDescent="0.25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</row>
    <row r="7" spans="1:29" x14ac:dyDescent="0.25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</row>
    <row r="8" spans="1:29" x14ac:dyDescent="0.25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</row>
    <row r="9" spans="1:29" x14ac:dyDescent="0.25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</row>
    <row r="10" spans="1:29" x14ac:dyDescent="0.25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</row>
    <row r="11" spans="1:29" x14ac:dyDescent="0.25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</row>
    <row r="12" spans="1:29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</row>
    <row r="13" spans="1:29" x14ac:dyDescent="0.2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</row>
    <row r="14" spans="1:29" x14ac:dyDescent="0.25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</row>
    <row r="15" spans="1:29" x14ac:dyDescent="0.2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</row>
    <row r="16" spans="1:29" x14ac:dyDescent="0.25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</row>
    <row r="17" spans="1:29" x14ac:dyDescent="0.25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29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29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29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29" x14ac:dyDescent="0.25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29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29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</row>
    <row r="24" spans="1:29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</row>
    <row r="25" spans="1:29" x14ac:dyDescent="0.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x14ac:dyDescent="0.25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</row>
    <row r="27" spans="1:29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</row>
    <row r="28" spans="1:29" x14ac:dyDescent="0.25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</row>
    <row r="29" spans="1:29" x14ac:dyDescent="0.2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</row>
    <row r="30" spans="1:29" x14ac:dyDescent="0.25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</row>
    <row r="31" spans="1:29" x14ac:dyDescent="0.25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</row>
    <row r="32" spans="1:29" x14ac:dyDescent="0.25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</row>
    <row r="33" spans="1:29" x14ac:dyDescent="0.25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</row>
    <row r="34" spans="1:29" x14ac:dyDescent="0.25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</row>
    <row r="35" spans="1:29" x14ac:dyDescent="0.2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</row>
    <row r="36" spans="1:29" x14ac:dyDescent="0.25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</row>
    <row r="37" spans="1:29" x14ac:dyDescent="0.25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</row>
    <row r="38" spans="1:29" x14ac:dyDescent="0.25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</row>
    <row r="39" spans="1:29" x14ac:dyDescent="0.25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</row>
    <row r="40" spans="1:29" x14ac:dyDescent="0.25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</row>
    <row r="41" spans="1:29" x14ac:dyDescent="0.25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</row>
    <row r="42" spans="1:29" x14ac:dyDescent="0.25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</row>
    <row r="43" spans="1:29" x14ac:dyDescent="0.25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</row>
    <row r="44" spans="1:29" x14ac:dyDescent="0.25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</row>
    <row r="45" spans="1:29" x14ac:dyDescent="0.2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</row>
    <row r="46" spans="1:29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</row>
    <row r="47" spans="1:29" x14ac:dyDescent="0.25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</row>
    <row r="48" spans="1:29" x14ac:dyDescent="0.25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</row>
    <row r="49" spans="1:29" x14ac:dyDescent="0.25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</row>
    <row r="50" spans="1:29" x14ac:dyDescent="0.25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</row>
    <row r="51" spans="1:29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</row>
    <row r="52" spans="1:29" x14ac:dyDescent="0.25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</row>
    <row r="53" spans="1:29" x14ac:dyDescent="0.25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</row>
    <row r="54" spans="1:29" x14ac:dyDescent="0.25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</row>
    <row r="55" spans="1:29" x14ac:dyDescent="0.2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</row>
    <row r="56" spans="1:29" x14ac:dyDescent="0.25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</row>
    <row r="57" spans="1:29" x14ac:dyDescent="0.25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</row>
    <row r="58" spans="1:29" x14ac:dyDescent="0.25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</row>
    <row r="59" spans="1:29" x14ac:dyDescent="0.25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</row>
    <row r="60" spans="1:29" x14ac:dyDescent="0.25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</row>
    <row r="61" spans="1:29" x14ac:dyDescent="0.25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</row>
    <row r="62" spans="1:29" x14ac:dyDescent="0.25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DDD61-4F22-4352-BCA6-B6C785B54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35</vt:i4>
      </vt:variant>
    </vt:vector>
  </HeadingPairs>
  <TitlesOfParts>
    <vt:vector size="45" baseType="lpstr">
      <vt:lpstr>All_India_Index_Upto_April23</vt:lpstr>
      <vt:lpstr>main data</vt:lpstr>
      <vt:lpstr>Notes</vt:lpstr>
      <vt:lpstr>Objective</vt:lpstr>
      <vt:lpstr>EDA 1</vt:lpstr>
      <vt:lpstr>EDA 2</vt:lpstr>
      <vt:lpstr>EDA 3</vt:lpstr>
      <vt:lpstr>EDA 4</vt:lpstr>
      <vt:lpstr>EDA 5</vt:lpstr>
      <vt:lpstr>Communication</vt:lpstr>
      <vt:lpstr>Cereals</vt:lpstr>
      <vt:lpstr>Clothing</vt:lpstr>
      <vt:lpstr>clthng</vt:lpstr>
      <vt:lpstr>clthnnfotwr</vt:lpstr>
      <vt:lpstr>date</vt:lpstr>
      <vt:lpstr>edu</vt:lpstr>
      <vt:lpstr>egg</vt:lpstr>
      <vt:lpstr>foodB</vt:lpstr>
      <vt:lpstr>foodBev</vt:lpstr>
      <vt:lpstr>fotwer</vt:lpstr>
      <vt:lpstr>fruits</vt:lpstr>
      <vt:lpstr>fuel</vt:lpstr>
      <vt:lpstr>GnrlIndx</vt:lpstr>
      <vt:lpstr>health</vt:lpstr>
      <vt:lpstr>healthpersnl</vt:lpstr>
      <vt:lpstr>housing</vt:lpstr>
      <vt:lpstr>housng</vt:lpstr>
      <vt:lpstr>Intoxicants</vt:lpstr>
      <vt:lpstr>meat</vt:lpstr>
      <vt:lpstr>milk</vt:lpstr>
      <vt:lpstr>miscel</vt:lpstr>
      <vt:lpstr>miscellaneous</vt:lpstr>
      <vt:lpstr>month</vt:lpstr>
      <vt:lpstr>NonAlco</vt:lpstr>
      <vt:lpstr>oils</vt:lpstr>
      <vt:lpstr>prefood</vt:lpstr>
      <vt:lpstr>prsnlcare</vt:lpstr>
      <vt:lpstr>pulses</vt:lpstr>
      <vt:lpstr>recreation</vt:lpstr>
      <vt:lpstr>sec</vt:lpstr>
      <vt:lpstr>spices</vt:lpstr>
      <vt:lpstr>sugar</vt:lpstr>
      <vt:lpstr>trans</vt:lpstr>
      <vt:lpstr>Vege</vt:lpstr>
      <vt:lpstr>year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Pal</dc:creator>
  <cp:lastModifiedBy>Admin</cp:lastModifiedBy>
  <dcterms:created xsi:type="dcterms:W3CDTF">2024-09-06T05:05:03Z</dcterms:created>
  <dcterms:modified xsi:type="dcterms:W3CDTF">2026-10-09T11:45:40Z</dcterms:modified>
</cp:coreProperties>
</file>